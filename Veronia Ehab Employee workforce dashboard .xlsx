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d.docs.live.net/d2627d6f20b1434c/Desktop/DEPI/"/>
    </mc:Choice>
  </mc:AlternateContent>
  <xr:revisionPtr revIDLastSave="0" documentId="14_{7F844DFD-951F-4B70-8649-043C3F3999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9" r:id="rId1"/>
    <sheet name="Data" sheetId="1" r:id="rId2"/>
    <sheet name="Pivot Table" sheetId="8" r:id="rId3"/>
    <sheet name="Employee per department" sheetId="11" r:id="rId4"/>
    <sheet name="Pivot table 2" sheetId="6" r:id="rId5"/>
    <sheet name="KPI" sheetId="3" r:id="rId6"/>
  </sheets>
  <calcPr calcId="18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</calcChain>
</file>

<file path=xl/sharedStrings.xml><?xml version="1.0" encoding="utf-8"?>
<sst xmlns="http://schemas.openxmlformats.org/spreadsheetml/2006/main" count="5616" uniqueCount="1569">
  <si>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</si>
  <si>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</si>
  <si>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</si>
  <si>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</si>
  <si>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</si>
  <si>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</si>
  <si>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</si>
  <si>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</si>
  <si>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</si>
  <si>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</si>
  <si>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</si>
  <si>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</si>
  <si>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</si>
  <si>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</si>
  <si>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</si>
  <si>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</si>
  <si>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</si>
  <si>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</si>
  <si>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</si>
  <si>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</si>
  <si>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</si>
  <si>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</si>
  <si>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</si>
  <si>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</si>
  <si>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</si>
  <si>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</si>
  <si>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</si>
  <si>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</si>
  <si>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</si>
  <si>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</si>
  <si>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</si>
  <si>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</si>
  <si>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</si>
  <si>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</si>
  <si>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</si>
  <si>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</si>
  <si>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</si>
  <si>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</si>
  <si>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</si>
  <si>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</si>
  <si>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</si>
  <si>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</si>
  <si>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</si>
  <si>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</si>
  <si>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</si>
  <si>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</si>
  <si>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</si>
  <si>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</si>
  <si>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</si>
  <si>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</si>
  <si>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</si>
  <si>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</si>
  <si>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</si>
  <si>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</si>
  <si>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</si>
  <si>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</si>
  <si>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</si>
  <si>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</si>
  <si>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</si>
  <si>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</si>
  <si>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</si>
  <si>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</si>
  <si>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</si>
  <si>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</si>
  <si>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</si>
  <si>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</si>
  <si>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</si>
  <si>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</si>
  <si>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</si>
  <si>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</si>
  <si>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</si>
  <si>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</si>
  <si>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</si>
  <si>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</si>
  <si>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</si>
  <si>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</si>
  <si>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</si>
  <si>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</si>
  <si>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</si>
  <si>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</si>
  <si>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</si>
  <si>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</si>
  <si>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</si>
  <si>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</si>
  <si>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</si>
  <si>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</si>
  <si>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</si>
  <si>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</si>
  <si>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</si>
  <si>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</si>
  <si>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</si>
  <si>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</si>
  <si>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</si>
  <si>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</si>
  <si>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</si>
  <si>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</si>
  <si>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</si>
  <si>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</si>
  <si>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</si>
  <si>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</si>
  <si>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</si>
  <si>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</si>
  <si>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</si>
  <si>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</si>
  <si>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</si>
  <si>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</si>
  <si>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</si>
  <si>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</si>
  <si>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</si>
  <si>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</si>
  <si>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</si>
  <si>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</si>
  <si>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</si>
  <si>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</si>
  <si>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</si>
  <si>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</si>
  <si>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</si>
  <si>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</si>
  <si>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</si>
  <si>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</si>
  <si>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</si>
  <si>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</si>
  <si>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</si>
  <si>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</si>
  <si>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</si>
  <si>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</si>
  <si>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</si>
  <si>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</si>
  <si>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</si>
  <si>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</si>
  <si>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</si>
  <si>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</si>
  <si>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</si>
  <si>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</si>
  <si>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</si>
  <si>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</si>
  <si>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</si>
  <si>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</si>
  <si>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</si>
  <si>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</si>
  <si>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</si>
  <si>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</si>
  <si>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</si>
  <si>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</si>
  <si>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</si>
  <si>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</si>
  <si>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</si>
  <si>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</si>
  <si>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</si>
  <si>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</si>
  <si>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</si>
  <si>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</si>
  <si>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</si>
  <si>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</si>
  <si>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</si>
  <si>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</si>
  <si>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</si>
  <si>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</si>
  <si>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</si>
  <si>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</si>
  <si>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</si>
  <si>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</si>
  <si>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</si>
  <si>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</si>
  <si>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</si>
  <si>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</si>
  <si>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</si>
  <si>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</si>
  <si>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</si>
  <si>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</si>
  <si>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</si>
  <si>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</si>
  <si>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</si>
  <si>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</si>
  <si>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</si>
  <si>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</si>
  <si>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</si>
  <si>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</si>
  <si>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</si>
  <si>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</si>
  <si>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</si>
  <si>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</si>
  <si>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</si>
  <si>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</si>
  <si>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</si>
  <si>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</si>
  <si>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</si>
  <si>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</si>
  <si>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</si>
  <si>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</si>
  <si>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</si>
  <si>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</si>
  <si>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</si>
  <si>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</si>
  <si>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</si>
  <si>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</si>
  <si>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</si>
  <si>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</si>
  <si>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</si>
  <si>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</si>
  <si>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</si>
  <si>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</si>
  <si>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</si>
  <si>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</si>
  <si>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</si>
  <si>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</si>
  <si>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</si>
  <si>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</si>
  <si>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</si>
  <si>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</si>
  <si>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</si>
  <si>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</si>
  <si>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</si>
  <si>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</si>
  <si>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</si>
  <si>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</si>
  <si>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</si>
  <si>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</si>
  <si>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</si>
  <si>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</si>
  <si>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</si>
  <si>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</si>
  <si>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</si>
  <si>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</si>
  <si>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</si>
  <si>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</si>
  <si>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</si>
  <si>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</si>
  <si>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</si>
  <si>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</si>
  <si>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</si>
  <si>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</si>
  <si>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</si>
  <si>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</si>
  <si>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</si>
  <si>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</si>
  <si>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</si>
  <si>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</si>
  <si>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</si>
  <si>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</si>
  <si>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</si>
  <si>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</si>
  <si>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</si>
  <si>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</si>
  <si>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</si>
  <si>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</si>
  <si>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</si>
  <si>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</si>
  <si>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</si>
  <si>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</si>
  <si>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</si>
  <si>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</si>
  <si>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</si>
  <si>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</si>
  <si>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</si>
  <si>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</si>
  <si>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</si>
  <si>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</si>
  <si>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</si>
  <si>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</si>
  <si>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</si>
  <si>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</si>
  <si>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</si>
  <si>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</si>
  <si>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</si>
  <si>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</si>
  <si>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</si>
  <si>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</si>
  <si>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</si>
  <si>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</si>
  <si>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</si>
  <si>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</si>
  <si>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</si>
  <si>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</si>
  <si>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</si>
  <si>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</si>
  <si>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</si>
  <si>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</si>
  <si>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</si>
  <si>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</si>
  <si>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</si>
  <si>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</si>
  <si>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</si>
  <si>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</si>
  <si>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</si>
  <si>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</si>
  <si>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</si>
  <si>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</si>
  <si>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</si>
  <si>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</si>
  <si>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</si>
  <si>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</si>
  <si>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</si>
  <si>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</si>
  <si>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</si>
  <si>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</si>
  <si>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</si>
  <si>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</si>
  <si>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</si>
  <si>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</si>
  <si>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</si>
  <si>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</si>
  <si>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</si>
  <si>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</si>
  <si>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</si>
  <si>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</si>
  <si>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</si>
  <si>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</si>
  <si>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</si>
  <si>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</si>
  <si>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</si>
  <si>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</si>
  <si>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</si>
  <si>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</si>
  <si>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</si>
  <si>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</si>
  <si>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</si>
  <si>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</si>
  <si>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</si>
  <si>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</si>
  <si>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</si>
  <si>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</si>
  <si>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</si>
  <si>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</si>
  <si>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</si>
  <si>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</si>
  <si>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</si>
  <si>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</si>
  <si>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</si>
  <si>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</si>
  <si>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</si>
  <si>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</si>
  <si>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</si>
  <si>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</si>
  <si>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</si>
  <si>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</si>
  <si>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</si>
  <si>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</si>
  <si>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</si>
  <si>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</si>
  <si>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</si>
  <si>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</si>
  <si>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</si>
  <si>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</si>
  <si>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</si>
  <si>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</si>
  <si>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</si>
  <si>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</si>
  <si>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</si>
  <si>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</si>
  <si>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</si>
  <si>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</si>
  <si>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</si>
  <si>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</si>
  <si>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</si>
  <si>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</si>
  <si>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</si>
  <si>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</si>
  <si>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</si>
  <si>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</si>
  <si>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</si>
  <si>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</si>
  <si>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</si>
  <si>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</si>
  <si>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</si>
  <si>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</si>
  <si>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</si>
  <si>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</si>
  <si>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</si>
  <si>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</si>
  <si>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</si>
  <si>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</si>
  <si>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</si>
  <si>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</si>
  <si>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</si>
  <si>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</si>
  <si>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</si>
  <si>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</si>
  <si>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</si>
  <si>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</si>
  <si>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</si>
  <si>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</si>
  <si>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</si>
  <si>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</si>
  <si>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</si>
  <si>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</si>
  <si>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</si>
  <si>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</si>
  <si>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</si>
  <si>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</si>
  <si>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</si>
  <si>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</si>
  <si>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</si>
  <si>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</si>
  <si>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</si>
  <si>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</si>
  <si>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</si>
  <si>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</si>
  <si>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</si>
  <si>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</si>
  <si>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</si>
  <si>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</si>
  <si>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</si>
  <si>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</si>
  <si>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</si>
  <si>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</si>
  <si>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</si>
  <si>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</si>
  <si>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</si>
  <si>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</si>
  <si>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</si>
  <si>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</si>
  <si>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</si>
  <si>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</si>
  <si>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</si>
  <si>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</si>
  <si>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</si>
  <si>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</si>
  <si>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</si>
  <si>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</si>
  <si>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</si>
  <si>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</si>
  <si>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</si>
  <si>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</si>
  <si>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</si>
  <si>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</si>
  <si>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</si>
  <si>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</si>
  <si>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</si>
  <si>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</si>
  <si>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</si>
  <si>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</si>
  <si>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</si>
  <si>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</si>
  <si>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</si>
  <si>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</si>
  <si>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</si>
  <si>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</si>
  <si>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</si>
  <si>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</si>
  <si>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</si>
  <si>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</si>
  <si>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</si>
  <si>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</si>
  <si>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</si>
  <si>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</si>
  <si>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</si>
  <si>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</si>
  <si>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</si>
  <si>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</si>
  <si>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</si>
  <si>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</si>
  <si>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</si>
  <si>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</si>
  <si>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</si>
  <si>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</si>
  <si>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</si>
  <si>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</si>
  <si>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</si>
  <si>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</si>
  <si>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</si>
  <si>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</si>
  <si>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</si>
  <si>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</si>
  <si>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</si>
  <si>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</si>
  <si>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</si>
  <si>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</si>
  <si>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</si>
  <si>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</si>
  <si>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</si>
  <si>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</si>
  <si>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</si>
  <si>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</si>
  <si>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</si>
  <si>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</si>
  <si>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</si>
  <si>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</si>
  <si>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</si>
  <si>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</si>
  <si>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</si>
  <si>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</si>
  <si>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</si>
  <si>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</si>
  <si>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</si>
  <si>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</si>
  <si>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</si>
  <si>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</si>
  <si>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</si>
  <si>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</si>
  <si>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</si>
  <si>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</si>
  <si>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</si>
  <si>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</si>
  <si>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</si>
  <si>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</si>
  <si>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</si>
  <si>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</si>
  <si>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</si>
  <si>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</si>
  <si>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</si>
  <si>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</si>
  <si>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</si>
  <si>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</si>
  <si>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</si>
  <si>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</si>
  <si>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</si>
  <si>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</si>
  <si>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</si>
  <si>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</si>
  <si>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</si>
  <si>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</si>
  <si>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</si>
  <si>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</si>
  <si>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</si>
  <si>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</si>
  <si>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</si>
  <si>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</si>
  <si>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</si>
  <si>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</si>
  <si>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</si>
  <si>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</si>
  <si>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</si>
  <si>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</si>
  <si>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</si>
  <si>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</si>
  <si>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</si>
  <si>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</si>
  <si>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</si>
  <si>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</si>
  <si>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</si>
  <si>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</si>
  <si>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</si>
  <si>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</si>
  <si>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</si>
  <si>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</si>
  <si>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</si>
  <si>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</si>
  <si>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</si>
  <si>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</si>
  <si>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</si>
  <si>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</si>
  <si>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</si>
  <si>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</si>
  <si>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</si>
  <si>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</si>
  <si>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</si>
  <si>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</si>
  <si>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</si>
  <si>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</si>
  <si>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</si>
  <si>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</si>
  <si>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</si>
  <si>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</si>
  <si>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</si>
  <si>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</si>
  <si>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</si>
  <si>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</si>
  <si>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</si>
  <si>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</si>
  <si>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</si>
  <si>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</si>
  <si>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</si>
  <si>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</si>
  <si>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</si>
  <si>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</si>
  <si>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</si>
  <si>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</si>
  <si>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</si>
  <si>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</si>
  <si>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</si>
  <si>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</si>
  <si>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</si>
  <si>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</si>
  <si>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</si>
  <si>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</si>
  <si>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</si>
  <si>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</si>
  <si>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</si>
  <si>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</si>
  <si>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</si>
  <si>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</si>
  <si>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</si>
  <si>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</si>
  <si>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</si>
  <si>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</si>
  <si>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</si>
  <si>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</si>
  <si>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</si>
  <si>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</si>
  <si>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</si>
  <si>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</si>
  <si>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</si>
  <si>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</si>
  <si>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</si>
  <si>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</si>
  <si>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</si>
  <si>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</si>
  <si>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</si>
  <si>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</si>
  <si>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</si>
  <si>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</si>
  <si>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</si>
  <si>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</si>
  <si>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</si>
  <si>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</si>
  <si>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</si>
  <si>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</si>
  <si>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</si>
  <si>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</si>
  <si>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</si>
  <si>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</si>
  <si>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</si>
  <si>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</si>
  <si>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</si>
  <si>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</si>
  <si>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</si>
  <si>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</si>
  <si>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</si>
  <si>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</si>
  <si>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</si>
  <si>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</si>
  <si>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</si>
  <si>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</si>
  <si>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</si>
  <si>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</si>
  <si>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</si>
  <si>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</si>
  <si>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</si>
  <si>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</si>
  <si>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</si>
  <si>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</si>
  <si>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</si>
  <si>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</si>
  <si>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</si>
  <si>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</si>
  <si>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</si>
  <si>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</si>
  <si>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</si>
  <si>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</si>
  <si>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</si>
  <si>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</si>
  <si>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</si>
  <si>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</si>
  <si>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</si>
  <si>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</si>
  <si>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</si>
  <si>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</si>
  <si>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</si>
  <si>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</si>
  <si>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</si>
  <si>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</si>
  <si>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</si>
  <si>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</si>
  <si>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</si>
  <si>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</si>
  <si>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</si>
  <si>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</si>
  <si>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</si>
  <si>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</si>
  <si>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</si>
  <si>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</si>
  <si>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</si>
  <si>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</si>
  <si>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</si>
  <si>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</si>
  <si>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</si>
  <si>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</si>
  <si>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</si>
  <si>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</si>
  <si>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</si>
  <si>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</si>
  <si>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</si>
  <si>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</si>
  <si>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</si>
  <si>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</si>
  <si>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</si>
  <si>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</si>
  <si>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</si>
  <si>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</si>
  <si>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</si>
  <si>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</si>
  <si>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</si>
  <si>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</si>
  <si>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</si>
  <si>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</si>
  <si>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</si>
  <si>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</si>
  <si>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</si>
  <si>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</si>
  <si>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</si>
  <si>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</si>
  <si>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</si>
  <si>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</si>
  <si>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</si>
  <si>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</si>
  <si>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</si>
  <si>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</si>
  <si>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</si>
  <si>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</si>
  <si>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</si>
  <si>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</si>
  <si>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</si>
  <si>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</si>
  <si>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</si>
  <si>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</si>
  <si>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</si>
  <si>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</si>
  <si>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</si>
  <si>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</si>
  <si>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</si>
  <si>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</si>
  <si>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</si>
  <si>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</si>
  <si>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</si>
  <si>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</si>
  <si>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</si>
  <si>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</si>
  <si>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</si>
  <si>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</si>
  <si>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</si>
  <si>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</si>
  <si>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</si>
  <si>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</si>
  <si>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</si>
  <si>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</si>
  <si>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</si>
  <si>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</si>
  <si>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</si>
  <si>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</si>
  <si>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</si>
  <si>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</si>
  <si>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</si>
  <si>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</si>
  <si>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</si>
  <si>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</si>
  <si>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</si>
  <si>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</si>
  <si>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</si>
  <si>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</si>
  <si>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</si>
  <si>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</si>
  <si>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</si>
  <si>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</si>
  <si>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</si>
  <si>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</si>
  <si>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</si>
  <si>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</si>
  <si>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</si>
  <si>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</si>
  <si>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</si>
  <si>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</si>
  <si>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</si>
  <si>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</si>
  <si>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</si>
  <si>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</si>
  <si>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</si>
  <si>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</si>
  <si>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</si>
  <si>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</si>
  <si>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</si>
  <si>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</si>
  <si>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</si>
  <si>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</si>
  <si>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</si>
  <si>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</si>
  <si>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</si>
  <si>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</si>
  <si>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</si>
  <si>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</si>
  <si>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</si>
  <si>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</si>
  <si>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</si>
  <si>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</si>
  <si>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</si>
  <si>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</si>
  <si>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</si>
  <si>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</si>
  <si>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</si>
  <si>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</si>
  <si>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</si>
  <si>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</si>
  <si>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</si>
  <si>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</si>
  <si>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</si>
  <si>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</si>
  <si>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</si>
  <si>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</si>
  <si>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</si>
  <si>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</si>
  <si>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</si>
  <si>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</si>
  <si>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</si>
  <si>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</si>
  <si>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</si>
  <si>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</si>
  <si>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</si>
  <si>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</si>
  <si>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</si>
  <si>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</si>
  <si>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</si>
  <si>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</si>
  <si>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</si>
  <si>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</si>
  <si>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</si>
  <si>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</si>
  <si>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</si>
  <si>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</si>
  <si>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</si>
  <si>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</si>
  <si>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</si>
  <si>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</si>
  <si>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</si>
  <si>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</si>
  <si>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</si>
  <si>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</si>
  <si>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</si>
  <si>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</si>
  <si>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</si>
  <si>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</si>
  <si>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</si>
  <si>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</si>
  <si>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</si>
  <si>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</si>
  <si>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</si>
  <si>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</si>
  <si>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</si>
  <si>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</si>
  <si>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</si>
  <si>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</si>
  <si>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</si>
  <si>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</si>
  <si>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</si>
  <si>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</si>
  <si>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</si>
  <si>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</si>
  <si>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</si>
  <si>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</si>
  <si>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</si>
  <si>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</si>
  <si>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</si>
  <si>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</si>
  <si>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</si>
  <si>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</si>
  <si>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</si>
  <si>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</si>
  <si>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</si>
  <si>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</si>
  <si>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</si>
  <si>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</si>
  <si>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</si>
  <si>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</si>
  <si>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</si>
  <si>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</si>
  <si>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</si>
  <si>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</si>
  <si>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</si>
  <si>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</si>
  <si>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</si>
  <si>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</si>
  <si>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</si>
  <si>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</si>
  <si>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</si>
  <si>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</si>
  <si>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</si>
  <si>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</si>
  <si>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</si>
  <si>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</si>
  <si>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</si>
  <si>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</si>
  <si>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</si>
  <si>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</si>
  <si>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</si>
  <si>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</si>
  <si>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</si>
  <si>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</si>
  <si>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</si>
  <si>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</si>
  <si>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</si>
  <si>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</si>
  <si>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</si>
  <si>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</si>
  <si>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</si>
  <si>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</si>
  <si>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</si>
  <si>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</si>
  <si>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</si>
  <si>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</si>
  <si>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</si>
  <si>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</si>
  <si>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</si>
  <si>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</si>
  <si>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</si>
  <si>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</si>
  <si>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</si>
  <si>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</si>
  <si>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</si>
  <si>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</si>
  <si>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</si>
  <si>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</si>
  <si>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</si>
  <si>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</si>
  <si>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</si>
  <si>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</si>
  <si>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</si>
  <si>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</si>
  <si>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</si>
  <si>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</si>
  <si>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</si>
  <si>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</si>
  <si>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</si>
  <si>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</si>
  <si>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</si>
  <si>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</si>
  <si>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</si>
  <si>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</si>
  <si>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</si>
  <si>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</si>
  <si>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</si>
  <si>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</si>
  <si>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</si>
  <si>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</si>
  <si>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</si>
  <si>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</si>
  <si>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</si>
  <si>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</si>
  <si>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</si>
  <si>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</si>
  <si>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</si>
  <si>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</si>
  <si>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</si>
  <si>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</si>
  <si>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</si>
  <si>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</si>
  <si>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</si>
  <si>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</si>
  <si>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</si>
  <si>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</si>
  <si>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</si>
  <si>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</si>
  <si>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</si>
  <si>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</si>
  <si>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</si>
  <si>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</si>
  <si>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</si>
  <si>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</si>
  <si>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</si>
  <si>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</si>
  <si>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</si>
  <si>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</si>
  <si>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</si>
  <si>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</si>
  <si>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</si>
  <si>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</si>
  <si>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</si>
  <si>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</si>
  <si>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</si>
  <si>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</si>
  <si>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</si>
  <si>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</si>
  <si>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</si>
  <si>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</si>
  <si>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</si>
  <si>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</si>
  <si>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</si>
  <si>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</si>
  <si>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</si>
  <si>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</si>
  <si>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</si>
  <si>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</si>
  <si>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</si>
  <si>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</si>
  <si>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</si>
  <si>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</si>
  <si>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</si>
  <si>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</si>
  <si>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</si>
  <si>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</si>
  <si>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</si>
  <si>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</si>
  <si>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</si>
  <si>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</si>
  <si>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</si>
  <si>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</si>
  <si>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</si>
  <si>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</si>
  <si>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</si>
  <si>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</si>
  <si>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</si>
  <si>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</si>
  <si>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</si>
  <si>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</si>
  <si>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</si>
  <si>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</si>
  <si>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</si>
  <si>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</si>
  <si>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</si>
  <si>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</si>
  <si>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</si>
  <si>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</si>
  <si>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</si>
  <si>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</si>
  <si>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</si>
  <si>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</si>
  <si>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</si>
  <si>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</si>
  <si>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</si>
  <si>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</si>
  <si>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</si>
  <si>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</si>
  <si>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</si>
  <si>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</si>
  <si>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</si>
  <si>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</si>
  <si>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</si>
  <si>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</si>
  <si>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</si>
  <si>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</si>
  <si>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</si>
  <si>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</si>
  <si>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</si>
  <si>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</si>
  <si>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</si>
  <si>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</si>
  <si>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</si>
  <si>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</si>
  <si>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</si>
  <si>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</si>
  <si>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</si>
  <si>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</si>
  <si>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</si>
  <si>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</si>
  <si>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</si>
  <si>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</si>
  <si>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</si>
  <si>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</si>
  <si>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</si>
  <si>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</si>
  <si>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</si>
  <si>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</si>
  <si>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</si>
  <si>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</si>
  <si>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</si>
  <si>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</si>
  <si>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</si>
  <si>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</si>
  <si>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</si>
  <si>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</si>
  <si>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</si>
  <si>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</si>
  <si>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</si>
  <si>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</si>
  <si>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</si>
  <si>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</si>
  <si>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</si>
  <si>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</si>
  <si>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</si>
  <si>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</si>
  <si>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</si>
  <si>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</si>
  <si>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</si>
  <si>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</si>
  <si>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</si>
  <si>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</si>
  <si>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</si>
  <si>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</si>
  <si>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</si>
  <si>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</si>
  <si>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</si>
  <si>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</si>
  <si>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</si>
  <si>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</si>
  <si>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</si>
  <si>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</si>
  <si>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</si>
  <si>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</si>
  <si>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</si>
  <si>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</si>
  <si>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</si>
  <si>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</si>
  <si>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</si>
  <si>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</si>
  <si>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</si>
  <si>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</si>
  <si>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</si>
  <si>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</si>
  <si>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</si>
  <si>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</si>
  <si>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</si>
  <si>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</si>
  <si>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</si>
  <si>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</si>
  <si>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</si>
  <si>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</si>
  <si>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</si>
  <si>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</si>
  <si>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</si>
  <si>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</si>
  <si>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</si>
  <si>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</si>
  <si>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</si>
  <si>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</si>
  <si>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</si>
  <si>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</si>
  <si>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</si>
  <si>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</si>
  <si>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</si>
  <si>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</si>
  <si>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</si>
  <si>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</si>
  <si>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</si>
  <si>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</si>
  <si>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</si>
  <si>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</si>
  <si>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</si>
  <si>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</si>
  <si>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</si>
  <si>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</si>
  <si>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</si>
  <si>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</si>
  <si>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</si>
  <si>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</si>
  <si>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</si>
  <si>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</si>
  <si>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</si>
  <si>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</si>
  <si>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</si>
  <si>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</si>
  <si>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</si>
  <si>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</si>
  <si>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</si>
  <si>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</si>
  <si>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</si>
  <si>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</si>
  <si>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</si>
  <si>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</si>
  <si>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</si>
  <si>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</si>
  <si>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</si>
  <si>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</si>
  <si>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</si>
  <si>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</si>
  <si>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</si>
  <si>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</si>
  <si>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</si>
  <si>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</si>
  <si>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</si>
  <si>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</si>
  <si>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</si>
  <si>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</si>
  <si>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</si>
  <si>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</si>
  <si>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</si>
  <si>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</si>
  <si>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</si>
  <si>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</si>
  <si>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</si>
  <si>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</si>
  <si>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</si>
  <si>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</si>
  <si>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</si>
  <si>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</si>
  <si>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</si>
  <si>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</si>
  <si>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</si>
  <si>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</si>
  <si>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</si>
  <si>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</si>
  <si>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</si>
  <si>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</si>
  <si>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</si>
  <si>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</si>
  <si>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</si>
  <si>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</si>
  <si>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</si>
  <si>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</si>
  <si>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</si>
  <si>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</si>
  <si>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</si>
  <si>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</si>
  <si>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</si>
  <si>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</si>
  <si>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</si>
  <si>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</si>
  <si>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</si>
  <si>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</si>
  <si>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</si>
  <si>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</si>
  <si>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</si>
  <si>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</si>
  <si>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</si>
  <si>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</si>
  <si>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</si>
  <si>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</si>
  <si>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</si>
  <si>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</si>
  <si>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</si>
  <si>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</si>
  <si>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</si>
  <si>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</si>
  <si>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</si>
  <si>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</si>
  <si>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</si>
  <si>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</si>
  <si>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</si>
  <si>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</si>
  <si>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</si>
  <si>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</si>
  <si>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</si>
  <si>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</si>
  <si>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</si>
  <si>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</si>
  <si>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</si>
  <si>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</si>
  <si>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</si>
  <si>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</si>
  <si>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</si>
  <si>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</si>
  <si>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</si>
  <si>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</si>
  <si>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</si>
  <si>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</si>
  <si>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</si>
  <si>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</si>
  <si>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</si>
  <si>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</si>
  <si>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</si>
  <si>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</si>
  <si>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</si>
  <si>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</si>
  <si>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</si>
  <si>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</si>
  <si>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</si>
  <si>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</si>
  <si>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</si>
  <si>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</si>
  <si>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</si>
  <si>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</si>
  <si>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</si>
  <si>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</si>
  <si>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</si>
  <si>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</si>
  <si>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</si>
  <si>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</si>
  <si>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</si>
  <si>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</si>
  <si>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</si>
  <si>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</si>
  <si>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</si>
  <si>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</si>
  <si>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</si>
  <si>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</si>
  <si>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</si>
  <si>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</si>
  <si>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</si>
  <si>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</si>
  <si>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</si>
  <si>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</si>
  <si>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</si>
  <si>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</si>
  <si>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</si>
  <si>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</si>
  <si>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</si>
  <si>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</si>
  <si>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</si>
  <si>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</si>
  <si>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</si>
  <si>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</si>
  <si>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</si>
  <si>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</si>
  <si>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</si>
  <si>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</si>
  <si>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</si>
  <si>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</si>
  <si>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</si>
  <si>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</si>
  <si>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</si>
  <si>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</si>
  <si>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</si>
  <si>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</si>
  <si>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</si>
  <si>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</si>
  <si>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</si>
  <si>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</si>
  <si>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</si>
  <si>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</si>
  <si>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</si>
  <si>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</si>
  <si>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</si>
  <si>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</si>
  <si>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</si>
  <si>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</si>
  <si>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</si>
  <si>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</si>
  <si>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</si>
  <si>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</si>
  <si>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</si>
  <si>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</si>
  <si>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</si>
  <si>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</si>
  <si>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</si>
  <si>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</si>
  <si>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</si>
  <si>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</si>
  <si>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</si>
  <si>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</si>
  <si>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</si>
  <si>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</si>
  <si>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</si>
  <si>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</si>
  <si>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</si>
  <si>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</si>
  <si>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</si>
  <si>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</si>
  <si>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</si>
  <si>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</si>
  <si>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</si>
  <si>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</si>
  <si>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</si>
  <si>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</si>
  <si>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</si>
  <si>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</si>
  <si>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</si>
  <si>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</si>
  <si>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</si>
  <si>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</si>
  <si>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</si>
  <si>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</si>
  <si>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</si>
  <si>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</si>
  <si>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</si>
  <si>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</si>
  <si>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</si>
  <si>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</si>
  <si>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</si>
  <si>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</si>
  <si>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</si>
  <si>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</si>
  <si>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</si>
  <si>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</si>
  <si>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</si>
  <si>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</si>
  <si>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</si>
  <si>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</si>
  <si>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</si>
  <si>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</si>
  <si>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</si>
  <si>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</si>
  <si>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</si>
  <si>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</si>
  <si>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</si>
  <si>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</si>
  <si>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</si>
  <si>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</si>
  <si>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</si>
  <si>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</si>
  <si>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</si>
  <si>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</si>
  <si>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</si>
  <si>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</si>
  <si>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</si>
  <si>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</si>
  <si>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</si>
  <si>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</si>
  <si>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</si>
  <si>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</si>
  <si>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</si>
  <si>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</si>
  <si>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</si>
  <si>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</si>
  <si>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</si>
  <si>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</si>
  <si>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</si>
  <si>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</si>
  <si>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</si>
  <si>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</si>
  <si>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</si>
  <si>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</si>
  <si>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</si>
  <si>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</si>
  <si>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</si>
  <si>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</si>
  <si>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</si>
  <si>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</si>
  <si>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</si>
  <si>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</si>
  <si>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</si>
  <si>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</si>
  <si>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</si>
  <si>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</si>
  <si>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</si>
  <si>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</si>
  <si>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</si>
  <si>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</si>
  <si>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</si>
  <si>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</si>
  <si>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</si>
  <si>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</si>
  <si>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</si>
  <si>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</si>
  <si>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</si>
  <si>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</si>
  <si>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</si>
  <si>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</si>
  <si>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</si>
  <si>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</si>
  <si>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</si>
  <si>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</si>
  <si>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</si>
  <si>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</si>
  <si>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</si>
  <si>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</si>
  <si>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</si>
  <si>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</si>
  <si>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</si>
  <si>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</si>
  <si>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</si>
  <si>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</si>
  <si>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</si>
  <si>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</si>
  <si>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</si>
  <si>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</si>
  <si>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</si>
  <si>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</si>
  <si>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</si>
  <si>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</si>
  <si>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</si>
  <si>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</si>
  <si>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</si>
  <si>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</si>
  <si>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</si>
  <si>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</si>
  <si>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</si>
  <si>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</si>
  <si>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</si>
  <si>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</si>
  <si>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</si>
  <si>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</si>
  <si>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</si>
  <si>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</si>
  <si>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</si>
  <si>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</si>
  <si>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</si>
  <si>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</si>
  <si>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</si>
  <si>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</si>
  <si>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</si>
  <si>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</si>
  <si>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</si>
  <si>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</si>
  <si>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</si>
  <si>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</si>
  <si>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</si>
  <si>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</si>
  <si>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</si>
  <si>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</si>
  <si>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</si>
  <si>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</si>
  <si>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</si>
  <si>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</si>
  <si>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</si>
  <si>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</si>
  <si>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</si>
  <si>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</si>
  <si>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</si>
  <si>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</si>
  <si>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</si>
  <si>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</si>
  <si>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</si>
  <si>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</si>
  <si>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</si>
  <si>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</si>
  <si>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</si>
  <si>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</si>
  <si>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</si>
  <si>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</si>
  <si>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</si>
  <si>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</si>
  <si>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</si>
  <si>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</si>
  <si>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</si>
  <si>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</si>
  <si>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</si>
  <si>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</si>
  <si>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</si>
  <si>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</si>
  <si>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</si>
  <si>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</si>
  <si>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</si>
  <si>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</si>
  <si>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</si>
  <si>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</si>
  <si>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</si>
  <si>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</si>
  <si>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</si>
  <si>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</si>
  <si>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</si>
  <si>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</si>
  <si>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</si>
  <si>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</si>
  <si>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</si>
  <si>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</si>
  <si>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</si>
  <si>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</si>
  <si>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</si>
  <si>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</si>
  <si>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</si>
  <si>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</si>
  <si>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</si>
  <si>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</si>
  <si>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</si>
  <si>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</si>
  <si>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</si>
  <si>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</si>
  <si>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</si>
  <si>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</si>
  <si>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</si>
  <si>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</si>
  <si>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</si>
  <si>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</si>
  <si>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</si>
  <si>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</si>
  <si>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</si>
  <si>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</si>
  <si>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</si>
  <si>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</si>
  <si>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</si>
  <si>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</si>
  <si>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</si>
  <si>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</si>
  <si>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</si>
  <si>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</si>
  <si>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</si>
  <si>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</si>
  <si>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</si>
  <si>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</si>
  <si>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</si>
  <si>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</si>
  <si>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</si>
  <si>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</si>
  <si>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</si>
  <si>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</si>
  <si>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</si>
  <si>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</si>
  <si>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</si>
  <si>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</si>
  <si>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</si>
  <si>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age distribution</t>
  </si>
  <si>
    <t>Row Labels</t>
  </si>
  <si>
    <t>Grand Total</t>
  </si>
  <si>
    <t>Count of EEID</t>
  </si>
  <si>
    <t>Average of Column1</t>
  </si>
  <si>
    <t>Sum of Annual</t>
  </si>
  <si>
    <t>Average of Annual</t>
  </si>
  <si>
    <t>Count of Gender</t>
  </si>
  <si>
    <t>Column Labels</t>
  </si>
  <si>
    <t>20-29</t>
  </si>
  <si>
    <t>30-39</t>
  </si>
  <si>
    <t>40-49</t>
  </si>
  <si>
    <t>50-59</t>
  </si>
  <si>
    <t>Total Employee</t>
  </si>
  <si>
    <t>Active Emloyee</t>
  </si>
  <si>
    <t>Inctive Emloyee</t>
  </si>
  <si>
    <t>Average Of Year</t>
  </si>
  <si>
    <t>Average Of Annual</t>
  </si>
  <si>
    <t>Year</t>
  </si>
  <si>
    <t>Total Number of Females</t>
  </si>
  <si>
    <t>Total Number of males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</si>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</sst>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[$$-409]#,##0;[Red][$$-409]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164" formatCode="[$$-409]#,##0.00"/>
    </dxf>
    <dxf>
      <numFmt numFmtId="2" formatCode="0.00"/>
    </dxf>
    <dxf>
      <numFmt numFmtId="166" formatCode="[$$-409]#,##0;[Red][$$-409]#,##0"/>
    </dxf>
    <dxf>
      <numFmt numFmtId="165" formatCode="[$$-409]#,##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Age_distribution</a:t>
            </a:r>
            <a:endParaRPr lang="en-US"/>
          </a:p>
        </c:rich>
      </c:tx>
      <c:layout>
        <c:manualLayout>
          <c:xMode val="edge"/>
          <c:yMode val="edge"/>
          <c:x val="0.26660411198600176"/>
          <c:y val="3.5145530515902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5-49CF-89AB-6A874141D270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'Pivot Table'!$C$5:$C$9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5-49CF-89AB-6A874141D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889176"/>
        <c:axId val="422892776"/>
      </c:barChart>
      <c:catAx>
        <c:axId val="42288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2776"/>
        <c:crosses val="autoZero"/>
        <c:auto val="1"/>
        <c:lblAlgn val="ctr"/>
        <c:lblOffset val="100"/>
        <c:noMultiLvlLbl val="0"/>
      </c:catAx>
      <c:valAx>
        <c:axId val="42289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8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 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highiest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'Pivot table 2'!$B$4:$B$14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1-43BC-BA8A-5C4E821A8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982824"/>
        <c:axId val="434984984"/>
      </c:barChart>
      <c:catAx>
        <c:axId val="43498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84984"/>
        <c:crosses val="autoZero"/>
        <c:auto val="1"/>
        <c:lblAlgn val="ctr"/>
        <c:lblOffset val="100"/>
        <c:noMultiLvlLbl val="0"/>
      </c:catAx>
      <c:valAx>
        <c:axId val="43498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8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2.xlsx]Employee per department!PivotTable1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Employee</a:t>
            </a:r>
            <a:r>
              <a:rPr lang="en-US" sz="1800" baseline="0">
                <a:solidFill>
                  <a:schemeClr val="tx1"/>
                </a:solidFill>
              </a:rPr>
              <a:t> per department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 per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EB-4780-B181-A753D410F3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EB-4780-B181-A753D410F3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EB-4780-B181-A753D410F3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EB-4780-B181-A753D410F3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EB-4780-B181-A753D410F30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AEB-4780-B181-A753D410F3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 per department'!$A$4:$A$10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'Employee per department'!$B$4:$B$10</c:f>
              <c:numCache>
                <c:formatCode>General</c:formatCode>
                <c:ptCount val="6"/>
                <c:pt idx="0">
                  <c:v>50</c:v>
                </c:pt>
                <c:pt idx="1">
                  <c:v>445</c:v>
                </c:pt>
                <c:pt idx="2">
                  <c:v>49</c:v>
                </c:pt>
                <c:pt idx="3">
                  <c:v>123</c:v>
                </c:pt>
                <c:pt idx="4">
                  <c:v>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EB-4780-B181-A753D410F30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Emloyee</a:t>
            </a:r>
            <a:r>
              <a:rPr lang="en-US" sz="1400" b="1" baseline="0"/>
              <a:t> Count by Business and Gender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Table'!$A$25:$A$29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Products</c:v>
                </c:pt>
                <c:pt idx="3">
                  <c:v>R&amp;D</c:v>
                </c:pt>
              </c:strCache>
            </c:strRef>
          </c:cat>
          <c:val>
            <c:numRef>
              <c:f>'Pivot Table'!$B$25:$B$29</c:f>
              <c:numCache>
                <c:formatCode>General</c:formatCode>
                <c:ptCount val="4"/>
                <c:pt idx="0">
                  <c:v>75</c:v>
                </c:pt>
                <c:pt idx="1">
                  <c:v>97</c:v>
                </c:pt>
                <c:pt idx="2">
                  <c:v>103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D-4A02-9E14-FF105E39D9A0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Table'!$A$25:$A$29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Products</c:v>
                </c:pt>
                <c:pt idx="3">
                  <c:v>R&amp;D</c:v>
                </c:pt>
              </c:strCache>
            </c:strRef>
          </c:cat>
          <c:val>
            <c:numRef>
              <c:f>'Pivot Table'!$C$25:$C$29</c:f>
              <c:numCache>
                <c:formatCode>General</c:formatCode>
                <c:ptCount val="4"/>
                <c:pt idx="0">
                  <c:v>74</c:v>
                </c:pt>
                <c:pt idx="1">
                  <c:v>124</c:v>
                </c:pt>
                <c:pt idx="2">
                  <c:v>96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D-4A02-9E14-FF105E39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21952"/>
        <c:axId val="443026992"/>
      </c:barChart>
      <c:catAx>
        <c:axId val="4430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6992"/>
        <c:crosses val="autoZero"/>
        <c:auto val="1"/>
        <c:lblAlgn val="ctr"/>
        <c:lblOffset val="100"/>
        <c:noMultiLvlLbl val="0"/>
      </c:catAx>
      <c:valAx>
        <c:axId val="4430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Age_distribution</a:t>
            </a:r>
            <a:endParaRPr lang="en-US"/>
          </a:p>
        </c:rich>
      </c:tx>
      <c:layout>
        <c:manualLayout>
          <c:xMode val="edge"/>
          <c:yMode val="edge"/>
          <c:x val="0.26660411198600176"/>
          <c:y val="3.5145530515902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1-4910-B00B-E8E36662009B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'Pivot Table'!$C$5:$C$9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1-4910-B00B-E8E366620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889176"/>
        <c:axId val="422892776"/>
      </c:barChart>
      <c:catAx>
        <c:axId val="42288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2776"/>
        <c:crosses val="autoZero"/>
        <c:auto val="1"/>
        <c:lblAlgn val="ctr"/>
        <c:lblOffset val="100"/>
        <c:noMultiLvlLbl val="0"/>
      </c:catAx>
      <c:valAx>
        <c:axId val="42289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8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Emloyee</a:t>
            </a:r>
            <a:r>
              <a:rPr lang="en-US" baseline="0"/>
              <a:t> Count by Business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Table'!$A$25:$A$29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Products</c:v>
                </c:pt>
                <c:pt idx="3">
                  <c:v>R&amp;D</c:v>
                </c:pt>
              </c:strCache>
            </c:strRef>
          </c:cat>
          <c:val>
            <c:numRef>
              <c:f>'Pivot Table'!$B$25:$B$29</c:f>
              <c:numCache>
                <c:formatCode>General</c:formatCode>
                <c:ptCount val="4"/>
                <c:pt idx="0">
                  <c:v>75</c:v>
                </c:pt>
                <c:pt idx="1">
                  <c:v>97</c:v>
                </c:pt>
                <c:pt idx="2">
                  <c:v>103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F-42F4-9D12-2A62F0530FD8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Table'!$A$25:$A$29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Products</c:v>
                </c:pt>
                <c:pt idx="3">
                  <c:v>R&amp;D</c:v>
                </c:pt>
              </c:strCache>
            </c:strRef>
          </c:cat>
          <c:val>
            <c:numRef>
              <c:f>'Pivot Table'!$C$25:$C$29</c:f>
              <c:numCache>
                <c:formatCode>General</c:formatCode>
                <c:ptCount val="4"/>
                <c:pt idx="0">
                  <c:v>74</c:v>
                </c:pt>
                <c:pt idx="1">
                  <c:v>124</c:v>
                </c:pt>
                <c:pt idx="2">
                  <c:v>96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F-42F4-9D12-2A62F0530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021952"/>
        <c:axId val="443026992"/>
      </c:barChart>
      <c:catAx>
        <c:axId val="4430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6992"/>
        <c:crosses val="autoZero"/>
        <c:auto val="1"/>
        <c:lblAlgn val="ctr"/>
        <c:lblOffset val="100"/>
        <c:noMultiLvlLbl val="0"/>
      </c:catAx>
      <c:valAx>
        <c:axId val="4430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2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2.xlsx]Employee per department!PivotTable1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 per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4C-43E2-A9FF-C82778702E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4C-43E2-A9FF-C82778702E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4C-43E2-A9FF-C82778702E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4C-43E2-A9FF-C82778702E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4C-43E2-A9FF-C82778702E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4C-43E2-A9FF-C82778702E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 per department'!$A$4:$A$10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'Employee per department'!$B$4:$B$10</c:f>
              <c:numCache>
                <c:formatCode>General</c:formatCode>
                <c:ptCount val="6"/>
                <c:pt idx="0">
                  <c:v>50</c:v>
                </c:pt>
                <c:pt idx="1">
                  <c:v>445</c:v>
                </c:pt>
                <c:pt idx="2">
                  <c:v>49</c:v>
                </c:pt>
                <c:pt idx="3">
                  <c:v>123</c:v>
                </c:pt>
                <c:pt idx="4">
                  <c:v>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3-4F3A-B130-0525BE5E4C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[Veronia Abouda 2.xlsx]Pivot table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highiest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'Pivot table 2'!$B$4:$B$14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A-4BCC-9A04-EA79A2C8E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982824"/>
        <c:axId val="434984984"/>
      </c:barChart>
      <c:catAx>
        <c:axId val="43498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84984"/>
        <c:crosses val="autoZero"/>
        <c:auto val="1"/>
        <c:lblAlgn val="ctr"/>
        <c:lblOffset val="100"/>
        <c:noMultiLvlLbl val="0"/>
      </c:catAx>
      <c:valAx>
        <c:axId val="434984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8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23700</xdr:colOff>
      <xdr:row>7</xdr:row>
      <xdr:rowOff>155057</xdr:rowOff>
    </xdr:from>
    <xdr:to>
      <xdr:col>18</xdr:col>
      <xdr:colOff>109425</xdr:colOff>
      <xdr:row>12</xdr:row>
      <xdr:rowOff>147747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2EA84B-9589-F1E0-FA5B-12C23B3C1F57}"/>
            </a:ext>
          </a:extLst>
        </xdr:cNvPr>
        <xdr:cNvSpPr/>
      </xdr:nvSpPr>
      <xdr:spPr>
        <a:xfrm>
          <a:off x="9161055" y="1473051"/>
          <a:ext cx="1913196" cy="93411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103667</xdr:colOff>
      <xdr:row>8</xdr:row>
      <xdr:rowOff>6426</xdr:rowOff>
    </xdr:from>
    <xdr:to>
      <xdr:col>7</xdr:col>
      <xdr:colOff>256067</xdr:colOff>
      <xdr:row>12</xdr:row>
      <xdr:rowOff>158826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D0FE258-8552-48EE-9E32-8E55F06DC4F5}"/>
            </a:ext>
          </a:extLst>
        </xdr:cNvPr>
        <xdr:cNvSpPr/>
      </xdr:nvSpPr>
      <xdr:spPr>
        <a:xfrm>
          <a:off x="2540295" y="1512705"/>
          <a:ext cx="1979871" cy="90554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409794</xdr:colOff>
      <xdr:row>7</xdr:row>
      <xdr:rowOff>155058</xdr:rowOff>
    </xdr:from>
    <xdr:to>
      <xdr:col>22</xdr:col>
      <xdr:colOff>22150</xdr:colOff>
      <xdr:row>12</xdr:row>
      <xdr:rowOff>139774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5CC340C-AADA-419F-A176-45791D04A829}"/>
            </a:ext>
          </a:extLst>
        </xdr:cNvPr>
        <xdr:cNvSpPr/>
      </xdr:nvSpPr>
      <xdr:spPr>
        <a:xfrm>
          <a:off x="11374620" y="1473052"/>
          <a:ext cx="2048983" cy="92614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313660</xdr:colOff>
      <xdr:row>7</xdr:row>
      <xdr:rowOff>163032</xdr:rowOff>
    </xdr:from>
    <xdr:to>
      <xdr:col>25</xdr:col>
      <xdr:colOff>342235</xdr:colOff>
      <xdr:row>12</xdr:row>
      <xdr:rowOff>98572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C9CDB9F-F84A-4F7C-8391-2644C4851089}"/>
            </a:ext>
          </a:extLst>
        </xdr:cNvPr>
        <xdr:cNvSpPr/>
      </xdr:nvSpPr>
      <xdr:spPr>
        <a:xfrm>
          <a:off x="13715113" y="1481026"/>
          <a:ext cx="1856046" cy="87696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57594</xdr:colOff>
      <xdr:row>7</xdr:row>
      <xdr:rowOff>151960</xdr:rowOff>
    </xdr:from>
    <xdr:to>
      <xdr:col>28</xdr:col>
      <xdr:colOff>590551</xdr:colOff>
      <xdr:row>12</xdr:row>
      <xdr:rowOff>97025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5E7DDDF-4997-4C95-81DA-6C38FD181C2A}"/>
            </a:ext>
          </a:extLst>
        </xdr:cNvPr>
        <xdr:cNvSpPr/>
      </xdr:nvSpPr>
      <xdr:spPr>
        <a:xfrm>
          <a:off x="15895675" y="1469954"/>
          <a:ext cx="1751271" cy="88649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320749</xdr:colOff>
      <xdr:row>1</xdr:row>
      <xdr:rowOff>60695</xdr:rowOff>
    </xdr:from>
    <xdr:to>
      <xdr:col>23</xdr:col>
      <xdr:colOff>34999</xdr:colOff>
      <xdr:row>6</xdr:row>
      <xdr:rowOff>144205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60BF9BA-3C2D-49AE-87B1-31449942E28D}"/>
            </a:ext>
          </a:extLst>
        </xdr:cNvPr>
        <xdr:cNvSpPr/>
      </xdr:nvSpPr>
      <xdr:spPr>
        <a:xfrm>
          <a:off x="6412319" y="248980"/>
          <a:ext cx="7633290" cy="102493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277553</xdr:colOff>
      <xdr:row>2</xdr:row>
      <xdr:rowOff>19492</xdr:rowOff>
    </xdr:from>
    <xdr:to>
      <xdr:col>22</xdr:col>
      <xdr:colOff>182303</xdr:colOff>
      <xdr:row>5</xdr:row>
      <xdr:rowOff>83952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73EC892-199A-D7D1-E76D-65CF0ED78950}"/>
            </a:ext>
          </a:extLst>
        </xdr:cNvPr>
        <xdr:cNvSpPr txBox="1"/>
      </xdr:nvSpPr>
      <xdr:spPr>
        <a:xfrm>
          <a:off x="6978280" y="396062"/>
          <a:ext cx="6605476" cy="6293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>
              <a:solidFill>
                <a:schemeClr val="tx1"/>
              </a:solidFill>
              <a:latin typeface="Bernard MT Condensed" panose="02050806060905020404" pitchFamily="18" charset="0"/>
            </a:rPr>
            <a:t>Employee</a:t>
          </a:r>
          <a:r>
            <a:rPr lang="en-US" sz="4000" b="1" baseline="0">
              <a:solidFill>
                <a:schemeClr val="tx1"/>
              </a:solidFill>
              <a:latin typeface="Bernard MT Condensed" panose="02050806060905020404" pitchFamily="18" charset="0"/>
            </a:rPr>
            <a:t> </a:t>
          </a:r>
          <a:r>
            <a:rPr lang="en-US" sz="4000" b="1" baseline="0">
              <a:ln>
                <a:noFill/>
              </a:ln>
              <a:solidFill>
                <a:schemeClr val="tx1"/>
              </a:solidFill>
              <a:latin typeface="Bernard MT Condensed" panose="02050806060905020404" pitchFamily="18" charset="0"/>
            </a:rPr>
            <a:t>workforce</a:t>
          </a:r>
          <a:r>
            <a:rPr lang="en-US" sz="4000" b="1" baseline="0">
              <a:solidFill>
                <a:schemeClr val="tx1"/>
              </a:solidFill>
              <a:latin typeface="Bernard MT Condensed" panose="02050806060905020404" pitchFamily="18" charset="0"/>
            </a:rPr>
            <a:t> dashboard</a:t>
          </a:r>
          <a:endParaRPr lang="en-US" sz="4000" b="1">
            <a:solidFill>
              <a:schemeClr val="tx1"/>
            </a:solidFill>
            <a:latin typeface="Bernard MT Condensed" panose="02050806060905020404" pitchFamily="18" charset="0"/>
          </a:endParaRPr>
        </a:p>
      </xdr:txBody>
    </xdr:sp>
    <xdr:clientData/>
  </xdr:twoCellAnchor>
  <xdr:oneCellAnchor>
    <xdr:from>
      <xdr:col>16</xdr:col>
      <xdr:colOff>19050</xdr:colOff>
      <xdr:row>8</xdr:row>
      <xdr:rowOff>95250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C8FF10-C4AF-4C08-33F5-931CD0A843EB}"/>
            </a:ext>
          </a:extLst>
        </xdr:cNvPr>
        <xdr:cNvSpPr txBox="1"/>
      </xdr:nvSpPr>
      <xdr:spPr>
        <a:xfrm>
          <a:off x="9772650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60252</xdr:colOff>
      <xdr:row>13</xdr:row>
      <xdr:rowOff>55380</xdr:rowOff>
    </xdr:from>
    <xdr:to>
      <xdr:col>16</xdr:col>
      <xdr:colOff>188284</xdr:colOff>
      <xdr:row>31</xdr:row>
      <xdr:rowOff>121832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02398D5-DC69-80BC-2218-2B578E18454F}"/>
            </a:ext>
          </a:extLst>
        </xdr:cNvPr>
        <xdr:cNvSpPr/>
      </xdr:nvSpPr>
      <xdr:spPr>
        <a:xfrm>
          <a:off x="3106037" y="2503083"/>
          <a:ext cx="6828759" cy="345558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188286</xdr:colOff>
      <xdr:row>31</xdr:row>
      <xdr:rowOff>132910</xdr:rowOff>
    </xdr:from>
    <xdr:to>
      <xdr:col>28</xdr:col>
      <xdr:colOff>398723</xdr:colOff>
      <xdr:row>45</xdr:row>
      <xdr:rowOff>171455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60C937E-ED4A-A196-242F-555F49118546}"/>
            </a:ext>
          </a:extLst>
        </xdr:cNvPr>
        <xdr:cNvSpPr/>
      </xdr:nvSpPr>
      <xdr:spPr>
        <a:xfrm>
          <a:off x="10543955" y="5969741"/>
          <a:ext cx="6911163" cy="267453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199360</xdr:colOff>
      <xdr:row>31</xdr:row>
      <xdr:rowOff>177210</xdr:rowOff>
    </xdr:from>
    <xdr:to>
      <xdr:col>16</xdr:col>
      <xdr:colOff>243662</xdr:colOff>
      <xdr:row>46</xdr:row>
      <xdr:rowOff>77529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2E0AA97-3327-4915-97A0-7659B5A66FDE}"/>
            </a:ext>
          </a:extLst>
        </xdr:cNvPr>
        <xdr:cNvSpPr/>
      </xdr:nvSpPr>
      <xdr:spPr>
        <a:xfrm>
          <a:off x="3245145" y="6014041"/>
          <a:ext cx="6745029" cy="272459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599410</xdr:colOff>
      <xdr:row>13</xdr:row>
      <xdr:rowOff>175880</xdr:rowOff>
    </xdr:from>
    <xdr:to>
      <xdr:col>15</xdr:col>
      <xdr:colOff>132906</xdr:colOff>
      <xdr:row>31</xdr:row>
      <xdr:rowOff>33227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C173859-EEC3-4151-907C-783AAE34B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542703</xdr:colOff>
      <xdr:row>32</xdr:row>
      <xdr:rowOff>63573</xdr:rowOff>
    </xdr:from>
    <xdr:to>
      <xdr:col>28</xdr:col>
      <xdr:colOff>210436</xdr:colOff>
      <xdr:row>45</xdr:row>
      <xdr:rowOff>82623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50E90F-F24E-4B96-85C8-E2A306854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166134</xdr:colOff>
      <xdr:row>8</xdr:row>
      <xdr:rowOff>66455</xdr:rowOff>
    </xdr:from>
    <xdr:to>
      <xdr:col>7</xdr:col>
      <xdr:colOff>155057</xdr:colOff>
      <xdr:row>10</xdr:row>
      <xdr:rowOff>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F7E4B41-647D-0857-A3B4-24FE14C31615}"/>
            </a:ext>
          </a:extLst>
        </xdr:cNvPr>
        <xdr:cNvSpPr txBox="1"/>
      </xdr:nvSpPr>
      <xdr:spPr>
        <a:xfrm>
          <a:off x="2602762" y="1572734"/>
          <a:ext cx="1816394" cy="31011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Total</a:t>
          </a:r>
          <a:r>
            <a:rPr lang="en-US" sz="1800" b="1" baseline="0"/>
            <a:t> Employee</a:t>
          </a:r>
          <a:endParaRPr lang="en-US" sz="1800" b="1"/>
        </a:p>
      </xdr:txBody>
    </xdr:sp>
    <xdr:clientData/>
  </xdr:twoCellAnchor>
  <xdr:twoCellAnchor>
    <xdr:from>
      <xdr:col>15</xdr:col>
      <xdr:colOff>112306</xdr:colOff>
      <xdr:row>8</xdr:row>
      <xdr:rowOff>55377</xdr:rowOff>
    </xdr:from>
    <xdr:to>
      <xdr:col>18</xdr:col>
      <xdr:colOff>55378</xdr:colOff>
      <xdr:row>10</xdr:row>
      <xdr:rowOff>143981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1E4C03-F7B0-4703-9F0A-E903F2B1A879}"/>
            </a:ext>
          </a:extLst>
        </xdr:cNvPr>
        <xdr:cNvSpPr txBox="1"/>
      </xdr:nvSpPr>
      <xdr:spPr>
        <a:xfrm>
          <a:off x="9249661" y="1561656"/>
          <a:ext cx="1770543" cy="4651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baseline="0"/>
            <a:t>Active Employee</a:t>
          </a:r>
          <a:endParaRPr lang="en-US" sz="1800" b="1"/>
        </a:p>
      </xdr:txBody>
    </xdr:sp>
    <xdr:clientData/>
  </xdr:twoCellAnchor>
  <xdr:twoCellAnchor>
    <xdr:from>
      <xdr:col>18</xdr:col>
      <xdr:colOff>443024</xdr:colOff>
      <xdr:row>8</xdr:row>
      <xdr:rowOff>55377</xdr:rowOff>
    </xdr:from>
    <xdr:to>
      <xdr:col>21</xdr:col>
      <xdr:colOff>575931</xdr:colOff>
      <xdr:row>9</xdr:row>
      <xdr:rowOff>166133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D945A9-7BA3-4AAA-AB89-FA27E8308EE7}"/>
            </a:ext>
          </a:extLst>
        </xdr:cNvPr>
        <xdr:cNvSpPr txBox="1"/>
      </xdr:nvSpPr>
      <xdr:spPr>
        <a:xfrm>
          <a:off x="11407850" y="1561656"/>
          <a:ext cx="1960378" cy="29904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baseline="0"/>
            <a:t>Inactive Employee</a:t>
          </a:r>
          <a:endParaRPr lang="en-US" sz="1800" b="1"/>
        </a:p>
      </xdr:txBody>
    </xdr:sp>
    <xdr:clientData/>
  </xdr:twoCellAnchor>
  <xdr:twoCellAnchor>
    <xdr:from>
      <xdr:col>22</xdr:col>
      <xdr:colOff>357963</xdr:colOff>
      <xdr:row>8</xdr:row>
      <xdr:rowOff>52275</xdr:rowOff>
    </xdr:from>
    <xdr:to>
      <xdr:col>25</xdr:col>
      <xdr:colOff>321194</xdr:colOff>
      <xdr:row>12</xdr:row>
      <xdr:rowOff>22150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38E78C-9141-4166-894E-86F060DE97D6}"/>
            </a:ext>
          </a:extLst>
        </xdr:cNvPr>
        <xdr:cNvSpPr txBox="1"/>
      </xdr:nvSpPr>
      <xdr:spPr>
        <a:xfrm>
          <a:off x="13759416" y="1558554"/>
          <a:ext cx="1790702" cy="72301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/>
            <a:t>Average</a:t>
          </a:r>
          <a:r>
            <a:rPr lang="en-US" sz="1600" b="1" baseline="0"/>
            <a:t> Of Annual Salary</a:t>
          </a:r>
          <a:endParaRPr lang="en-US" sz="1600" b="1"/>
        </a:p>
      </xdr:txBody>
    </xdr:sp>
    <xdr:clientData/>
  </xdr:twoCellAnchor>
  <xdr:twoCellAnchor>
    <xdr:from>
      <xdr:col>26</xdr:col>
      <xdr:colOff>112972</xdr:colOff>
      <xdr:row>8</xdr:row>
      <xdr:rowOff>30126</xdr:rowOff>
    </xdr:from>
    <xdr:to>
      <xdr:col>28</xdr:col>
      <xdr:colOff>555994</xdr:colOff>
      <xdr:row>9</xdr:row>
      <xdr:rowOff>151957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70655DD-AB74-4243-A05F-45562694C263}"/>
            </a:ext>
          </a:extLst>
        </xdr:cNvPr>
        <xdr:cNvSpPr txBox="1"/>
      </xdr:nvSpPr>
      <xdr:spPr>
        <a:xfrm>
          <a:off x="15951053" y="1536405"/>
          <a:ext cx="1661336" cy="31011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Average</a:t>
          </a:r>
          <a:r>
            <a:rPr lang="en-US" sz="1600" b="1" baseline="0"/>
            <a:t> Of Year</a:t>
          </a:r>
          <a:endParaRPr lang="en-US" sz="1600" b="1"/>
        </a:p>
      </xdr:txBody>
    </xdr:sp>
    <xdr:clientData/>
  </xdr:twoCellAnchor>
  <xdr:twoCellAnchor>
    <xdr:from>
      <xdr:col>5</xdr:col>
      <xdr:colOff>174107</xdr:colOff>
      <xdr:row>10</xdr:row>
      <xdr:rowOff>24588</xdr:rowOff>
    </xdr:from>
    <xdr:to>
      <xdr:col>6</xdr:col>
      <xdr:colOff>110755</xdr:colOff>
      <xdr:row>12</xdr:row>
      <xdr:rowOff>11076</xdr:rowOff>
    </xdr:to>
    <xdr:sp macro="" textlink="KPI!B10">
      <xdr:nvSpPr>
        <xdr:cNvPr id="24" name="TextBox 23">
          <a:extLst>
            <a:ext uri="{FF2B5EF4-FFF2-40B4-BE49-F238E27FC236}">
              <a16:creationId xmlns:a16="http://schemas.microsoft.com/office/drawing/2014/main" id="{04BE67FD-B1A7-F0AF-4870-7398877CB5C4}"/>
            </a:ext>
          </a:extLst>
        </xdr:cNvPr>
        <xdr:cNvSpPr txBox="1"/>
      </xdr:nvSpPr>
      <xdr:spPr>
        <a:xfrm>
          <a:off x="3219892" y="1907437"/>
          <a:ext cx="545805" cy="36305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561A289-084D-4F9A-84DC-73DDD2D1F050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792</a:t>
          </a:fld>
          <a:endParaRPr lang="en-US" sz="1800" b="1"/>
        </a:p>
      </xdr:txBody>
    </xdr:sp>
    <xdr:clientData/>
  </xdr:twoCellAnchor>
  <xdr:twoCellAnchor>
    <xdr:from>
      <xdr:col>16</xdr:col>
      <xdr:colOff>90154</xdr:colOff>
      <xdr:row>10</xdr:row>
      <xdr:rowOff>44303</xdr:rowOff>
    </xdr:from>
    <xdr:to>
      <xdr:col>17</xdr:col>
      <xdr:colOff>26802</xdr:colOff>
      <xdr:row>12</xdr:row>
      <xdr:rowOff>30791</xdr:rowOff>
    </xdr:to>
    <xdr:sp macro="" textlink="KPI!B11">
      <xdr:nvSpPr>
        <xdr:cNvPr id="25" name="TextBox 24">
          <a:extLst>
            <a:ext uri="{FF2B5EF4-FFF2-40B4-BE49-F238E27FC236}">
              <a16:creationId xmlns:a16="http://schemas.microsoft.com/office/drawing/2014/main" id="{220809EC-7054-40CC-8B6D-F5363911227E}"/>
            </a:ext>
          </a:extLst>
        </xdr:cNvPr>
        <xdr:cNvSpPr txBox="1"/>
      </xdr:nvSpPr>
      <xdr:spPr>
        <a:xfrm>
          <a:off x="9836666" y="1927152"/>
          <a:ext cx="545805" cy="36305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656CA9D-CED6-4905-A403-CCF6522457B4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691</a:t>
          </a:fld>
          <a:endParaRPr lang="en-US" sz="1800" b="1"/>
        </a:p>
      </xdr:txBody>
    </xdr:sp>
    <xdr:clientData/>
  </xdr:twoCellAnchor>
  <xdr:twoCellAnchor>
    <xdr:from>
      <xdr:col>19</xdr:col>
      <xdr:colOff>520552</xdr:colOff>
      <xdr:row>10</xdr:row>
      <xdr:rowOff>20600</xdr:rowOff>
    </xdr:from>
    <xdr:to>
      <xdr:col>20</xdr:col>
      <xdr:colOff>457200</xdr:colOff>
      <xdr:row>12</xdr:row>
      <xdr:rowOff>7088</xdr:rowOff>
    </xdr:to>
    <xdr:sp macro="" textlink="KPI!B12">
      <xdr:nvSpPr>
        <xdr:cNvPr id="26" name="TextBox 25">
          <a:extLst>
            <a:ext uri="{FF2B5EF4-FFF2-40B4-BE49-F238E27FC236}">
              <a16:creationId xmlns:a16="http://schemas.microsoft.com/office/drawing/2014/main" id="{D413B66F-7C3F-40A8-9310-25522CCADF35}"/>
            </a:ext>
          </a:extLst>
        </xdr:cNvPr>
        <xdr:cNvSpPr txBox="1"/>
      </xdr:nvSpPr>
      <xdr:spPr>
        <a:xfrm>
          <a:off x="12094535" y="1903449"/>
          <a:ext cx="545805" cy="36305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E79C9E-4C0D-4F65-8413-414671464CB8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101</a:t>
          </a:fld>
          <a:endParaRPr lang="en-US" sz="1800" b="1"/>
        </a:p>
      </xdr:txBody>
    </xdr:sp>
    <xdr:clientData/>
  </xdr:twoCellAnchor>
  <xdr:twoCellAnchor>
    <xdr:from>
      <xdr:col>24</xdr:col>
      <xdr:colOff>99683</xdr:colOff>
      <xdr:row>9</xdr:row>
      <xdr:rowOff>166133</xdr:rowOff>
    </xdr:from>
    <xdr:to>
      <xdr:col>25</xdr:col>
      <xdr:colOff>36331</xdr:colOff>
      <xdr:row>11</xdr:row>
      <xdr:rowOff>152621</xdr:rowOff>
    </xdr:to>
    <xdr:sp macro="" textlink="KPI!B13">
      <xdr:nvSpPr>
        <xdr:cNvPr id="28" name="TextBox 27">
          <a:extLst>
            <a:ext uri="{FF2B5EF4-FFF2-40B4-BE49-F238E27FC236}">
              <a16:creationId xmlns:a16="http://schemas.microsoft.com/office/drawing/2014/main" id="{E3D97C42-C984-493D-842A-7CE78C339295}"/>
            </a:ext>
          </a:extLst>
        </xdr:cNvPr>
        <xdr:cNvSpPr txBox="1"/>
      </xdr:nvSpPr>
      <xdr:spPr>
        <a:xfrm>
          <a:off x="14719450" y="1860697"/>
          <a:ext cx="545805" cy="36305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2BB770-5CCE-4A4A-8402-5ED1B21DDCCB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2.81</a:t>
          </a:fld>
          <a:endParaRPr lang="en-US" sz="1800" b="1"/>
        </a:p>
      </xdr:txBody>
    </xdr:sp>
    <xdr:clientData/>
  </xdr:twoCellAnchor>
  <xdr:twoCellAnchor>
    <xdr:from>
      <xdr:col>26</xdr:col>
      <xdr:colOff>254737</xdr:colOff>
      <xdr:row>9</xdr:row>
      <xdr:rowOff>177211</xdr:rowOff>
    </xdr:from>
    <xdr:to>
      <xdr:col>28</xdr:col>
      <xdr:colOff>531627</xdr:colOff>
      <xdr:row>11</xdr:row>
      <xdr:rowOff>163699</xdr:rowOff>
    </xdr:to>
    <xdr:sp macro="" textlink="KPI!B14">
      <xdr:nvSpPr>
        <xdr:cNvPr id="29" name="TextBox 28">
          <a:extLst>
            <a:ext uri="{FF2B5EF4-FFF2-40B4-BE49-F238E27FC236}">
              <a16:creationId xmlns:a16="http://schemas.microsoft.com/office/drawing/2014/main" id="{0D0867F0-5409-415E-999C-8B80F2FAAD5B}"/>
            </a:ext>
          </a:extLst>
        </xdr:cNvPr>
        <xdr:cNvSpPr txBox="1"/>
      </xdr:nvSpPr>
      <xdr:spPr>
        <a:xfrm>
          <a:off x="16092818" y="1871775"/>
          <a:ext cx="1495204" cy="36305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6C8EEC6-E437-4CC3-B041-168C80840B5A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/>
            <a:t>$661,108.71</a:t>
          </a:fld>
          <a:endParaRPr lang="en-US" sz="1800" b="1"/>
        </a:p>
      </xdr:txBody>
    </xdr:sp>
    <xdr:clientData/>
  </xdr:twoCellAnchor>
  <xdr:twoCellAnchor>
    <xdr:from>
      <xdr:col>5</xdr:col>
      <xdr:colOff>465174</xdr:colOff>
      <xdr:row>32</xdr:row>
      <xdr:rowOff>77530</xdr:rowOff>
    </xdr:from>
    <xdr:to>
      <xdr:col>15</xdr:col>
      <xdr:colOff>497071</xdr:colOff>
      <xdr:row>45</xdr:row>
      <xdr:rowOff>177210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271E3A-B7FD-4DA9-AF06-359784FE9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199361</xdr:colOff>
      <xdr:row>8</xdr:row>
      <xdr:rowOff>1</xdr:rowOff>
    </xdr:from>
    <xdr:to>
      <xdr:col>14</xdr:col>
      <xdr:colOff>351761</xdr:colOff>
      <xdr:row>12</xdr:row>
      <xdr:rowOff>152401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14CD1E1-2C3D-42E8-866D-417DD4EF80D4}"/>
            </a:ext>
          </a:extLst>
        </xdr:cNvPr>
        <xdr:cNvSpPr/>
      </xdr:nvSpPr>
      <xdr:spPr>
        <a:xfrm>
          <a:off x="6900088" y="1506280"/>
          <a:ext cx="1979871" cy="90554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287965</xdr:colOff>
      <xdr:row>8</xdr:row>
      <xdr:rowOff>55377</xdr:rowOff>
    </xdr:from>
    <xdr:to>
      <xdr:col>14</xdr:col>
      <xdr:colOff>243664</xdr:colOff>
      <xdr:row>12</xdr:row>
      <xdr:rowOff>66453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ADA6EE9-98B9-4E08-6675-F25063579750}"/>
            </a:ext>
          </a:extLst>
        </xdr:cNvPr>
        <xdr:cNvSpPr txBox="1"/>
      </xdr:nvSpPr>
      <xdr:spPr>
        <a:xfrm>
          <a:off x="6988692" y="1561656"/>
          <a:ext cx="1783170" cy="76421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Number of Females   </a:t>
          </a:r>
          <a:r>
            <a:rPr lang="en-US" sz="1800" b="1">
              <a:effectLst/>
            </a:rPr>
            <a:t>    395</a:t>
          </a:r>
          <a:endParaRPr lang="en-US" sz="1800" b="1"/>
        </a:p>
      </xdr:txBody>
    </xdr:sp>
    <xdr:clientData/>
  </xdr:twoCellAnchor>
  <xdr:oneCellAnchor>
    <xdr:from>
      <xdr:col>8</xdr:col>
      <xdr:colOff>587006</xdr:colOff>
      <xdr:row>7</xdr:row>
      <xdr:rowOff>11076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DAEEDF-ED45-EDCF-14F7-66AD534C7ECE}"/>
            </a:ext>
          </a:extLst>
        </xdr:cNvPr>
        <xdr:cNvSpPr txBox="1"/>
      </xdr:nvSpPr>
      <xdr:spPr>
        <a:xfrm>
          <a:off x="5460262" y="13290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431947</xdr:colOff>
      <xdr:row>8</xdr:row>
      <xdr:rowOff>0</xdr:rowOff>
    </xdr:from>
    <xdr:to>
      <xdr:col>10</xdr:col>
      <xdr:colOff>584347</xdr:colOff>
      <xdr:row>12</xdr:row>
      <xdr:rowOff>152400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C8E9668B-C5AA-4EB9-AB4B-95DA513D2FBF}"/>
            </a:ext>
          </a:extLst>
        </xdr:cNvPr>
        <xdr:cNvSpPr/>
      </xdr:nvSpPr>
      <xdr:spPr>
        <a:xfrm>
          <a:off x="4696046" y="1506279"/>
          <a:ext cx="1979871" cy="90554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553778</xdr:colOff>
      <xdr:row>8</xdr:row>
      <xdr:rowOff>88604</xdr:rowOff>
    </xdr:from>
    <xdr:to>
      <xdr:col>10</xdr:col>
      <xdr:colOff>443023</xdr:colOff>
      <xdr:row>12</xdr:row>
      <xdr:rowOff>88604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032AD83-2CE3-9E09-6C62-DA712D68F7DD}"/>
            </a:ext>
          </a:extLst>
        </xdr:cNvPr>
        <xdr:cNvSpPr txBox="1"/>
      </xdr:nvSpPr>
      <xdr:spPr>
        <a:xfrm>
          <a:off x="4817877" y="1594883"/>
          <a:ext cx="1716716" cy="75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Number of males</a:t>
          </a:r>
          <a:r>
            <a:rPr lang="en-US" sz="1800" b="1">
              <a:effectLst/>
            </a:rPr>
            <a:t> 397</a:t>
          </a:r>
          <a:endParaRPr lang="en-US" sz="1800" b="1"/>
        </a:p>
      </xdr:txBody>
    </xdr:sp>
    <xdr:clientData/>
  </xdr:twoCellAnchor>
  <xdr:twoCellAnchor>
    <xdr:from>
      <xdr:col>17</xdr:col>
      <xdr:colOff>121831</xdr:colOff>
      <xdr:row>13</xdr:row>
      <xdr:rowOff>66454</xdr:rowOff>
    </xdr:from>
    <xdr:to>
      <xdr:col>28</xdr:col>
      <xdr:colOff>409796</xdr:colOff>
      <xdr:row>31</xdr:row>
      <xdr:rowOff>55379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91B205B-81ED-46AC-9AB6-E152915FE91D}"/>
            </a:ext>
          </a:extLst>
        </xdr:cNvPr>
        <xdr:cNvSpPr/>
      </xdr:nvSpPr>
      <xdr:spPr>
        <a:xfrm>
          <a:off x="10477500" y="2514157"/>
          <a:ext cx="6988691" cy="337805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476249</xdr:colOff>
      <xdr:row>13</xdr:row>
      <xdr:rowOff>188284</xdr:rowOff>
    </xdr:from>
    <xdr:to>
      <xdr:col>27</xdr:col>
      <xdr:colOff>542703</xdr:colOff>
      <xdr:row>30</xdr:row>
      <xdr:rowOff>99679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03F9B9D-F8F4-413A-91BB-A8ED6187A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</xdr:row>
      <xdr:rowOff>0</xdr:rowOff>
    </xdr:from>
    <xdr:to>
      <xdr:col>13</xdr:col>
      <xdr:colOff>314325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FBEF6-AC7E-E5A4-5060-6CD366015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14287</xdr:rowOff>
    </xdr:from>
    <xdr:to>
      <xdr:col>12</xdr:col>
      <xdr:colOff>304800</xdr:colOff>
      <xdr:row>35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B2D756-BF9B-45EC-74EB-F3EA63B85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185737</xdr:rowOff>
    </xdr:from>
    <xdr:to>
      <xdr:col>10</xdr:col>
      <xdr:colOff>314325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709B7-BFE2-CF4A-C041-0AA67E79D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5</xdr:row>
      <xdr:rowOff>52387</xdr:rowOff>
    </xdr:from>
    <xdr:to>
      <xdr:col>13</xdr:col>
      <xdr:colOff>114300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EACFA-514B-6710-7899-974BBF8A8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a" refreshedDate="46065.719357175927" createdVersion="8" refreshedVersion="8" minRefreshableVersion="3" recordCount="792" xr:uid="{F9E42F09-A6D9-414B-B0ED-F75454D83067}">
  <cacheSource type="worksheet">
    <worksheetSource name="Table1"/>
  </cacheSource>
  <cacheFields count="14">
    <cacheField name="EEID" numFmtId="0">
      <sharedItems/>
    </cacheField>
    <cacheField name="Full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6" maxValue="56"/>
    </cacheField>
    <cacheField name="Job" numFmtId="0">
      <sharedItems/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/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/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Column1" numFmtId="0">
      <sharedItems containsSemiMixedTypes="0" containsString="0" containsNumber="1" containsInteger="1" minValue="0" maxValue="6"/>
    </cacheField>
    <cacheField name="age distrib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a" refreshedDate="46065.746800231478" createdVersion="8" refreshedVersion="8" minRefreshableVersion="3" recordCount="793" xr:uid="{B65B57DE-2F6C-445B-8422-253DCA4D4990}">
  <cacheSource type="worksheet">
    <worksheetSource ref="A1:N1048576" sheet="Data"/>
  </cacheSource>
  <cacheFields count="14">
    <cacheField name="EEID" numFmtId="0">
      <sharedItems containsBlank="1" count="718">
        <s v="E01839"/>
        <s v="E04959"/>
        <s v="E03047"/>
        <s v="E04458"/>
        <s v="E02848"/>
        <s v="E04332"/>
        <s v="E03438"/>
        <s v="E02769"/>
        <s v="E03277"/>
        <s v="E02534"/>
        <s v="E03849"/>
        <s v="E03807"/>
        <s v="E03223"/>
        <s v="E02473"/>
        <s v="E03065"/>
        <s v="E03563"/>
        <s v="E03227"/>
        <s v="E04969"/>
        <s v="E01706"/>
        <s v="E04109"/>
        <s v="E03994"/>
        <s v="E00608"/>
        <s v="E02259"/>
        <s v="E04369"/>
        <s v="E04751"/>
        <s v="E01684"/>
        <s v="E00508"/>
        <s v="E02274"/>
        <s v="E02453"/>
        <s v="E00956"/>
        <s v="E00126"/>
        <s v="E04032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3816"/>
        <s v="E01261"/>
        <s v="E03612"/>
        <s v="E01388"/>
        <s v="E03875"/>
        <s v="E04413"/>
        <s v="E00691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0671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3893"/>
        <s v="E00553"/>
        <s v="E03540"/>
        <s v="E04194"/>
        <s v="E01762"/>
        <s v="E02632"/>
        <s v="E04226"/>
        <s v="E04101"/>
        <s v="E01981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2185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1262"/>
        <s v="E01075"/>
        <s v="E00364"/>
        <s v="E04108"/>
        <s v="E02917"/>
        <s v="E03720"/>
        <s v="E03393"/>
        <s v="E02977"/>
        <s v="E03371"/>
        <s v="E02531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0530"/>
        <s v="E02492"/>
        <s v="E01733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3694"/>
        <s v="E04766"/>
        <s v="E01465"/>
        <s v="E00206"/>
        <s v="E04088"/>
        <s v="E02066"/>
        <s v="E03364"/>
        <s v="E00607"/>
        <s v="E02258"/>
        <s v="E03681"/>
        <s v="E02298"/>
        <s v="E02984"/>
        <s v="E02440"/>
        <s v="E04699"/>
        <s v="E03579"/>
        <s v="E0164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4732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0676"/>
        <s v="E02005"/>
        <s v="E01895"/>
        <s v="E01396"/>
        <s v="E00749"/>
        <s v="E01941"/>
        <s v="E01413"/>
        <s v="E03928"/>
        <s v="E00639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0647"/>
        <s v="E02522"/>
        <s v="E00459"/>
        <s v="E03007"/>
        <s v="E00952"/>
        <s v="E03863"/>
        <s v="E02710"/>
        <s v="E01339"/>
        <s v="E02938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0446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3278"/>
        <s v="E00282"/>
        <s v="E00559"/>
        <s v="E02558"/>
        <s v="E03858"/>
        <s v="E02221"/>
        <s v="E02627"/>
        <s v="E03778"/>
        <s v="E00481"/>
        <s v="E02833"/>
        <s v="E03902"/>
        <s v="E02310"/>
        <s v="E02661"/>
        <s v="E00682"/>
        <s v="E00785"/>
        <s v="E04598"/>
        <s v="E03247"/>
        <s v="E02703"/>
        <s v="E02191"/>
        <s v="E00156"/>
        <s v="E00005"/>
        <s v="E04354"/>
        <s v="E01578"/>
        <s v="E03430"/>
        <s v="E04762"/>
        <s v="E01148"/>
        <s v="E03094"/>
        <s v="E01909"/>
        <s v="E04398"/>
        <s v="E02521"/>
        <m/>
      </sharedItems>
    </cacheField>
    <cacheField name="Full" numFmtId="0">
      <sharedItems containsBlank="1" count="793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26" maxValue="56" count="22">
        <n v="47"/>
        <n v="36"/>
        <n v="41"/>
        <n v="30"/>
        <n v="38"/>
        <n v="28"/>
        <n v="39"/>
        <n v="31"/>
        <n v="45"/>
        <n v="50"/>
        <n v="29"/>
        <n v="40"/>
        <n v="26"/>
        <n v="35"/>
        <n v="27"/>
        <n v="37"/>
        <n v="32"/>
        <n v="51"/>
        <n v="56"/>
        <n v="53"/>
        <n v="46"/>
        <m/>
      </sharedItems>
    </cacheField>
    <cacheField name="Job" numFmtId="0">
      <sharedItems containsBlank="1"/>
    </cacheField>
    <cacheField name="Department" numFmtId="0">
      <sharedItems containsBlank="1"/>
    </cacheField>
    <cacheField name="Business" numFmtId="0">
      <sharedItems containsBlank="1" count="5">
        <s v="Corporate"/>
        <s v="Products"/>
        <s v="R&amp;D"/>
        <s v="Manufacturing"/>
        <m/>
      </sharedItems>
    </cacheField>
    <cacheField name="Hire" numFmtId="14">
      <sharedItems containsNonDate="0" containsDate="1" containsString="0" containsBlank="1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tring="0" containsBlank="1" containsNumber="1" containsInteger="1" minValue="10000" maxValue="1408000"/>
    </cacheField>
    <cacheField name="Bonus" numFmtId="0">
      <sharedItems containsString="0" containsBlank="1" containsNumber="1" minValue="0" maxValue="0.4"/>
    </cacheField>
    <cacheField name="Status" numFmtId="0">
      <sharedItems containsBlank="1"/>
    </cacheField>
    <cacheField name="Column1" numFmtId="0">
      <sharedItems containsString="0" containsBlank="1" containsNumber="1" containsInteger="1" minValue="0" maxValue="6"/>
    </cacheField>
    <cacheField name="age distribution" numFmtId="0">
      <sharedItems containsBlank="1" count="5">
        <s v="40-49"/>
        <s v="30-39"/>
        <s v="20-29"/>
        <s v="50-5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s v="E01839"/>
    <s v="Noah"/>
    <s v="Female"/>
    <n v="47"/>
    <s v="Auto Eng"/>
    <x v="0"/>
    <s v="Corporate"/>
    <d v="2020-10-12T00:00:00"/>
    <d v="2022-10-23T00:00:00"/>
    <n v="10000"/>
    <n v="0"/>
    <x v="0"/>
    <n v="2"/>
    <s v="40-49"/>
  </r>
  <r>
    <s v="E04959"/>
    <s v="Gabriella"/>
    <s v="Male"/>
    <n v="36"/>
    <s v=" Dev Eng"/>
    <x v="0"/>
    <s v="Products"/>
    <d v="2022-01-27T00:00:00"/>
    <m/>
    <n v="10000"/>
    <n v="0"/>
    <x v="1"/>
    <n v="4"/>
    <s v="30-39"/>
  </r>
  <r>
    <s v="E03047"/>
    <s v="Alexander"/>
    <s v="Female"/>
    <n v="41"/>
    <s v="Sr. Acc Rep"/>
    <x v="1"/>
    <s v="Corporate"/>
    <d v="2024-02-15T00:00:00"/>
    <m/>
    <n v="12000"/>
    <n v="0"/>
    <x v="1"/>
    <n v="1"/>
    <s v="40-49"/>
  </r>
  <r>
    <s v="E04458"/>
    <s v="Emma"/>
    <s v="Male"/>
    <n v="30"/>
    <s v="Field Eng"/>
    <x v="0"/>
    <s v="Products"/>
    <d v="2024-02-10T00:00:00"/>
    <m/>
    <n v="14000"/>
    <n v="0"/>
    <x v="1"/>
    <n v="2"/>
    <s v="30-39"/>
  </r>
  <r>
    <s v="E02848"/>
    <s v="Ezra"/>
    <s v="Female"/>
    <n v="30"/>
    <s v="Sr. Acc Rep"/>
    <x v="1"/>
    <s v="R&amp;D"/>
    <d v="2020-12-18T00:00:00"/>
    <d v="2024-05-18T00:00:00"/>
    <n v="16000"/>
    <n v="0"/>
    <x v="0"/>
    <n v="3"/>
    <s v="30-39"/>
  </r>
  <r>
    <s v="E04332"/>
    <s v="Asher"/>
    <s v="Male"/>
    <n v="38"/>
    <s v="Auto Eng"/>
    <x v="0"/>
    <s v="Products"/>
    <d v="2020-01-07T00:00:00"/>
    <d v="2024-05-18T00:00:00"/>
    <n v="18000"/>
    <n v="0.15"/>
    <x v="0"/>
    <n v="4"/>
    <s v="30-39"/>
  </r>
  <r>
    <s v="E03438"/>
    <s v="Riley"/>
    <s v="Female"/>
    <n v="28"/>
    <s v="Auto Eng"/>
    <x v="0"/>
    <s v="R&amp;D"/>
    <d v="2023-10-07T00:00:00"/>
    <m/>
    <n v="20000"/>
    <n v="0"/>
    <x v="1"/>
    <n v="2"/>
    <s v="20-29"/>
  </r>
  <r>
    <s v="E02769"/>
    <s v="Caroline"/>
    <s v="Male"/>
    <n v="39"/>
    <s v="Sr. Manger"/>
    <x v="2"/>
    <s v="R&amp;D"/>
    <d v="2021-10-18T00:00:00"/>
    <m/>
    <n v="22000"/>
    <n v="0.11"/>
    <x v="1"/>
    <n v="4"/>
    <s v="30-39"/>
  </r>
  <r>
    <s v="E03277"/>
    <s v="Victoria"/>
    <s v="Female"/>
    <n v="31"/>
    <s v="Sr. Manger"/>
    <x v="3"/>
    <s v="Products"/>
    <d v="2022-08-18T00:00:00"/>
    <m/>
    <n v="24000"/>
    <n v="0.12"/>
    <x v="1"/>
    <n v="3"/>
    <s v="30-39"/>
  </r>
  <r>
    <s v="E02534"/>
    <s v="Harper"/>
    <s v="Female"/>
    <n v="45"/>
    <s v="Sr. Manger"/>
    <x v="4"/>
    <s v="Corporate"/>
    <d v="2024-05-28T00:00:00"/>
    <m/>
    <n v="26000"/>
    <n v="0"/>
    <x v="1"/>
    <n v="1"/>
    <s v="40-49"/>
  </r>
  <r>
    <s v="E03849"/>
    <s v="Ethan"/>
    <s v="Female"/>
    <n v="50"/>
    <s v="Quality Eng"/>
    <x v="0"/>
    <s v="Manufacturing"/>
    <d v="2022-09-07T00:00:00"/>
    <m/>
    <n v="28000"/>
    <n v="0.12"/>
    <x v="1"/>
    <n v="3"/>
    <s v="50-59"/>
  </r>
  <r>
    <s v="E03807"/>
    <s v="Leonardo"/>
    <s v="Male"/>
    <n v="36"/>
    <s v="Sr. Manger"/>
    <x v="3"/>
    <s v="Manufacturing"/>
    <d v="2024-01-03T00:00:00"/>
    <m/>
    <n v="30000"/>
    <n v="0.15"/>
    <x v="1"/>
    <n v="2"/>
    <s v="30-39"/>
  </r>
  <r>
    <s v="E03223"/>
    <s v="Ian"/>
    <s v="Female"/>
    <n v="45"/>
    <s v="IT Coord"/>
    <x v="5"/>
    <s v="R&amp;D"/>
    <d v="2023-05-28T00:00:00"/>
    <m/>
    <n v="32000"/>
    <n v="0"/>
    <x v="1"/>
    <n v="2"/>
    <s v="40-49"/>
  </r>
  <r>
    <s v="E02473"/>
    <s v="Eli"/>
    <s v="Male"/>
    <n v="29"/>
    <s v="Quality Eng"/>
    <x v="0"/>
    <s v="Products"/>
    <d v="2023-11-15T00:00:00"/>
    <m/>
    <n v="34000"/>
    <n v="0"/>
    <x v="1"/>
    <n v="2"/>
    <s v="20-29"/>
  </r>
  <r>
    <s v="E03065"/>
    <s v="Abigail"/>
    <s v="Male"/>
    <n v="41"/>
    <s v="Quality Eng"/>
    <x v="0"/>
    <s v="R&amp;D"/>
    <d v="2020-01-21T00:00:00"/>
    <d v="2022-10-23T00:00:00"/>
    <n v="36000"/>
    <n v="0.15"/>
    <x v="0"/>
    <n v="2"/>
    <s v="40-49"/>
  </r>
  <r>
    <s v="E03563"/>
    <s v="Avery"/>
    <s v="Male"/>
    <n v="47"/>
    <s v="Ops Eng"/>
    <x v="0"/>
    <s v="Corporate"/>
    <d v="2023-10-07T00:00:00"/>
    <d v="2024-09-02T00:00:00"/>
    <n v="38000"/>
    <n v="0"/>
    <x v="0"/>
    <n v="0"/>
    <s v="40-49"/>
  </r>
  <r>
    <s v="E03227"/>
    <s v="Leah"/>
    <s v="Male"/>
    <n v="38"/>
    <s v="IT Coord"/>
    <x v="5"/>
    <s v="Products"/>
    <d v="2024-04-19T00:00:00"/>
    <m/>
    <n v="40000"/>
    <n v="0"/>
    <x v="1"/>
    <n v="1"/>
    <s v="30-39"/>
  </r>
  <r>
    <s v="E04969"/>
    <s v="Henry"/>
    <s v="Female"/>
    <n v="40"/>
    <s v="Ops Eng"/>
    <x v="0"/>
    <s v="R&amp;D"/>
    <d v="2020-09-09T00:00:00"/>
    <m/>
    <n v="42000"/>
    <n v="0.15"/>
    <x v="1"/>
    <n v="5"/>
    <s v="40-49"/>
  </r>
  <r>
    <s v="E01706"/>
    <s v="Anna"/>
    <s v="Male"/>
    <n v="45"/>
    <s v="Ops Eng"/>
    <x v="0"/>
    <s v="Manufacturing"/>
    <d v="2023-11-03T00:00:00"/>
    <m/>
    <n v="44000"/>
    <n v="0"/>
    <x v="1"/>
    <n v="2"/>
    <s v="40-49"/>
  </r>
  <r>
    <s v="E04109"/>
    <s v="Emily"/>
    <s v="Female"/>
    <n v="26"/>
    <s v="IT Coord"/>
    <x v="5"/>
    <s v="Manufacturing"/>
    <d v="2024-04-30T00:00:00"/>
    <m/>
    <n v="46000"/>
    <n v="0"/>
    <x v="1"/>
    <n v="1"/>
    <s v="20-29"/>
  </r>
  <r>
    <s v="E03994"/>
    <s v="Santiago"/>
    <s v="Male"/>
    <n v="35"/>
    <s v="Auto Eng"/>
    <x v="0"/>
    <s v="Manufacturing"/>
    <d v="2020-02-26T00:00:00"/>
    <d v="2021-09-07T00:00:00"/>
    <n v="48000"/>
    <n v="0"/>
    <x v="0"/>
    <n v="1"/>
    <s v="30-39"/>
  </r>
  <r>
    <s v="E00608"/>
    <s v="Grayson"/>
    <s v="Female"/>
    <n v="29"/>
    <s v=" Dev Eng"/>
    <x v="0"/>
    <s v="Manufacturing"/>
    <d v="2022-09-11T00:00:00"/>
    <m/>
    <n v="50000"/>
    <n v="0"/>
    <x v="1"/>
    <n v="3"/>
    <s v="20-29"/>
  </r>
  <r>
    <s v="E02259"/>
    <s v="Jaxson"/>
    <s v="Female"/>
    <n v="35"/>
    <s v="Sr. Analyst"/>
    <x v="2"/>
    <s v="Manufacturing"/>
    <d v="2024-05-18T00:00:00"/>
    <m/>
    <n v="52000"/>
    <n v="0"/>
    <x v="1"/>
    <n v="1"/>
    <s v="30-39"/>
  </r>
  <r>
    <s v="E04369"/>
    <s v="Thomas"/>
    <s v="Male"/>
    <n v="27"/>
    <s v="Quality Eng"/>
    <x v="0"/>
    <s v="Corporate"/>
    <d v="2021-11-09T00:00:00"/>
    <m/>
    <n v="54000"/>
    <n v="0.12"/>
    <x v="1"/>
    <n v="4"/>
    <s v="20-29"/>
  </r>
  <r>
    <s v="E04751"/>
    <s v="Isabella"/>
    <s v="Male"/>
    <n v="26"/>
    <s v="Ops Eng"/>
    <x v="0"/>
    <s v="Products"/>
    <d v="2020-05-12T00:00:00"/>
    <d v="2022-10-23T00:00:00"/>
    <n v="56000"/>
    <n v="0.15"/>
    <x v="0"/>
    <n v="2"/>
    <s v="20-29"/>
  </r>
  <r>
    <s v="E01684"/>
    <s v="Dylan"/>
    <s v="Male"/>
    <n v="27"/>
    <s v="Field Eng"/>
    <x v="0"/>
    <s v="Manufacturing"/>
    <d v="2022-09-11T00:00:00"/>
    <m/>
    <n v="58000"/>
    <n v="0"/>
    <x v="1"/>
    <n v="3"/>
    <s v="20-29"/>
  </r>
  <r>
    <s v="E00508"/>
    <s v="Eleanor"/>
    <s v="Male"/>
    <n v="30"/>
    <s v="Sr. Analyst"/>
    <x v="4"/>
    <s v="R&amp;D"/>
    <d v="2022-10-23T00:00:00"/>
    <m/>
    <n v="60000"/>
    <n v="0"/>
    <x v="1"/>
    <n v="3"/>
    <s v="30-39"/>
  </r>
  <r>
    <s v="E02274"/>
    <s v="Emery"/>
    <s v="Female"/>
    <n v="36"/>
    <s v="Net Admin"/>
    <x v="5"/>
    <s v="Manufacturing"/>
    <d v="2020-08-23T00:00:00"/>
    <d v="2024-05-18T00:00:00"/>
    <n v="62000"/>
    <n v="0"/>
    <x v="0"/>
    <n v="3"/>
    <s v="30-39"/>
  </r>
  <r>
    <s v="E02453"/>
    <s v="John"/>
    <s v="Male"/>
    <n v="45"/>
    <s v="Sr. Analyst"/>
    <x v="3"/>
    <s v="Products"/>
    <d v="2023-11-07T00:00:00"/>
    <m/>
    <n v="64000"/>
    <n v="0"/>
    <x v="1"/>
    <n v="2"/>
    <s v="40-49"/>
  </r>
  <r>
    <s v="E00956"/>
    <s v="Ava"/>
    <s v="Female"/>
    <n v="37"/>
    <s v=" Dev Eng"/>
    <x v="0"/>
    <s v="R&amp;D"/>
    <d v="2023-10-07T00:00:00"/>
    <m/>
    <n v="66000"/>
    <n v="0"/>
    <x v="1"/>
    <n v="2"/>
    <s v="30-39"/>
  </r>
  <r>
    <s v="E00126"/>
    <s v="Natalia"/>
    <s v="Female"/>
    <n v="32"/>
    <s v="Net Admin"/>
    <x v="5"/>
    <s v="R&amp;D"/>
    <d v="2022-04-26T00:00:00"/>
    <m/>
    <n v="68000"/>
    <n v="0.12"/>
    <x v="1"/>
    <n v="3"/>
    <s v="30-39"/>
  </r>
  <r>
    <s v="E04032"/>
    <s v="Skylar"/>
    <s v="Female"/>
    <n v="45"/>
    <s v="Field Eng"/>
    <x v="0"/>
    <s v="Corporate"/>
    <d v="2020-02-28T00:00:00"/>
    <m/>
    <n v="70000"/>
    <n v="0.15"/>
    <x v="1"/>
    <n v="5"/>
    <s v="40-49"/>
  </r>
  <r>
    <s v="E00716"/>
    <s v="Christian"/>
    <s v="Female"/>
    <n v="51"/>
    <s v="Auto Eng"/>
    <x v="0"/>
    <s v="Corporate"/>
    <d v="2020-10-12T00:00:00"/>
    <m/>
    <n v="72000"/>
    <n v="0.15"/>
    <x v="1"/>
    <n v="5"/>
    <s v="50-59"/>
  </r>
  <r>
    <s v="E00699"/>
    <s v="Penelope"/>
    <s v="Female"/>
    <n v="56"/>
    <s v=" Dev Eng"/>
    <x v="0"/>
    <s v="Products"/>
    <d v="2022-01-27T00:00:00"/>
    <m/>
    <n v="74000"/>
    <n v="0.1"/>
    <x v="1"/>
    <n v="4"/>
    <s v="50-59"/>
  </r>
  <r>
    <s v="E00502"/>
    <s v="Piper"/>
    <s v="Male"/>
    <n v="53"/>
    <s v="Sr. Acc Rep"/>
    <x v="1"/>
    <s v="Corporate"/>
    <d v="2020-02-15T00:00:00"/>
    <d v="2023-08-07T00:00:00"/>
    <n v="76000"/>
    <n v="0"/>
    <x v="0"/>
    <n v="3"/>
    <s v="50-59"/>
  </r>
  <r>
    <s v="E04000"/>
    <s v="Everly"/>
    <s v="Female"/>
    <n v="47"/>
    <s v="Field Eng"/>
    <x v="0"/>
    <s v="Products"/>
    <d v="2020-02-10T00:00:00"/>
    <d v="2021-02-24T00:00:00"/>
    <n v="78000"/>
    <n v="0.13"/>
    <x v="0"/>
    <n v="1"/>
    <s v="40-49"/>
  </r>
  <r>
    <s v="E02112"/>
    <s v="Aurora"/>
    <s v="Female"/>
    <n v="36"/>
    <s v="Sr. Acc Rep"/>
    <x v="1"/>
    <s v="R&amp;D"/>
    <d v="2020-12-18T00:00:00"/>
    <m/>
    <n v="80000"/>
    <n v="0.37"/>
    <x v="1"/>
    <n v="5"/>
    <s v="30-39"/>
  </r>
  <r>
    <s v="E03824"/>
    <s v="William"/>
    <s v="Female"/>
    <n v="41"/>
    <s v="Auto Eng"/>
    <x v="0"/>
    <s v="Products"/>
    <d v="2020-01-07T00:00:00"/>
    <m/>
    <n v="82000"/>
    <n v="0"/>
    <x v="1"/>
    <n v="6"/>
    <s v="40-49"/>
  </r>
  <r>
    <s v="E03906"/>
    <s v="Jade"/>
    <s v="Male"/>
    <n v="30"/>
    <s v="Auto Eng"/>
    <x v="0"/>
    <s v="R&amp;D"/>
    <d v="2023-10-07T00:00:00"/>
    <m/>
    <n v="84000"/>
    <n v="0"/>
    <x v="1"/>
    <n v="2"/>
    <s v="30-39"/>
  </r>
  <r>
    <s v="E00436"/>
    <s v="Isla"/>
    <s v="Male"/>
    <n v="30"/>
    <s v="Sr. Manger"/>
    <x v="2"/>
    <s v="R&amp;D"/>
    <d v="2022-10-18T00:00:00"/>
    <d v="2024-02-22T00:00:00"/>
    <n v="86000"/>
    <n v="0"/>
    <x v="0"/>
    <n v="1"/>
    <s v="30-39"/>
  </r>
  <r>
    <s v="E04798"/>
    <s v="David"/>
    <s v="Male"/>
    <n v="38"/>
    <s v="Sr. Manger"/>
    <x v="3"/>
    <s v="Products"/>
    <d v="2022-08-18T00:00:00"/>
    <m/>
    <n v="88000"/>
    <n v="7.0000000000000007E-2"/>
    <x v="1"/>
    <n v="3"/>
    <s v="30-39"/>
  </r>
  <r>
    <s v="E01249"/>
    <s v="Miles"/>
    <s v="Female"/>
    <n v="28"/>
    <s v="Sr. Manger"/>
    <x v="4"/>
    <s v="Corporate"/>
    <d v="2022-05-28T00:00:00"/>
    <d v="2024-05-18T00:00:00"/>
    <n v="90000"/>
    <n v="0.35"/>
    <x v="0"/>
    <n v="1"/>
    <s v="20-29"/>
  </r>
  <r>
    <s v="E03349"/>
    <s v="Mila"/>
    <s v="Male"/>
    <n v="46"/>
    <s v="Quality Eng"/>
    <x v="0"/>
    <s v="Manufacturing"/>
    <d v="2022-09-07T00:00:00"/>
    <m/>
    <n v="92000"/>
    <n v="0"/>
    <x v="1"/>
    <n v="3"/>
    <s v="40-49"/>
  </r>
  <r>
    <s v="E02966"/>
    <s v="Benjamin"/>
    <s v="Female"/>
    <n v="31"/>
    <s v="Sr. Manger"/>
    <x v="3"/>
    <s v="Manufacturing"/>
    <d v="2021-01-03T00:00:00"/>
    <d v="2021-09-26T00:00:00"/>
    <n v="94000"/>
    <n v="0"/>
    <x v="0"/>
    <n v="0"/>
    <s v="30-39"/>
  </r>
  <r>
    <s v="E01499"/>
    <s v="Samuel"/>
    <s v="Male"/>
    <n v="45"/>
    <s v="IT Coord"/>
    <x v="5"/>
    <s v="R&amp;D"/>
    <d v="2023-05-28T00:00:00"/>
    <m/>
    <n v="96000"/>
    <n v="0.2"/>
    <x v="1"/>
    <n v="2"/>
    <s v="40-49"/>
  </r>
  <r>
    <s v="E00105"/>
    <s v="Joseph"/>
    <s v="Male"/>
    <n v="50"/>
    <s v="Quality Eng"/>
    <x v="0"/>
    <s v="Products"/>
    <d v="2023-11-15T00:00:00"/>
    <m/>
    <n v="98000"/>
    <n v="0.09"/>
    <x v="1"/>
    <n v="2"/>
    <s v="50-59"/>
  </r>
  <r>
    <s v="E00665"/>
    <s v="Jose"/>
    <s v="Male"/>
    <n v="46"/>
    <s v="Quality Eng"/>
    <x v="0"/>
    <s v="R&amp;D"/>
    <d v="2020-01-21T00:00:00"/>
    <m/>
    <n v="100000"/>
    <n v="0"/>
    <x v="1"/>
    <n v="6"/>
    <s v="40-49"/>
  </r>
  <r>
    <s v="E00791"/>
    <s v="Parker"/>
    <s v="Male"/>
    <n v="45"/>
    <s v="Ops Eng"/>
    <x v="0"/>
    <s v="Corporate"/>
    <d v="2023-10-07T00:00:00"/>
    <m/>
    <n v="102000"/>
    <n v="0.4"/>
    <x v="1"/>
    <n v="2"/>
    <s v="40-49"/>
  </r>
  <r>
    <s v="E01540"/>
    <s v="Everleigh"/>
    <s v="Male"/>
    <n v="29"/>
    <s v="IT Coord"/>
    <x v="5"/>
    <s v="Products"/>
    <d v="2020-04-19T00:00:00"/>
    <d v="2022-03-27T00:00:00"/>
    <n v="104000"/>
    <n v="0"/>
    <x v="0"/>
    <n v="1"/>
    <s v="20-29"/>
  </r>
  <r>
    <s v="E04474"/>
    <s v="Lincoln"/>
    <s v="Male"/>
    <n v="41"/>
    <s v="Ops Eng"/>
    <x v="0"/>
    <s v="R&amp;D"/>
    <d v="2020-09-09T00:00:00"/>
    <d v="2024-08-10T00:00:00"/>
    <n v="106000"/>
    <n v="0"/>
    <x v="0"/>
    <n v="3"/>
    <s v="40-49"/>
  </r>
  <r>
    <s v="E03417"/>
    <s v="Willow"/>
    <s v="Female"/>
    <n v="47"/>
    <s v="Ops Eng"/>
    <x v="0"/>
    <s v="Manufacturing"/>
    <d v="2023-11-03T00:00:00"/>
    <d v="2024-05-18T00:00:00"/>
    <n v="108000"/>
    <n v="0.08"/>
    <x v="0"/>
    <n v="0"/>
    <s v="40-49"/>
  </r>
  <r>
    <s v="E00254"/>
    <s v="Jack"/>
    <s v="Male"/>
    <n v="46"/>
    <s v="IT Coord"/>
    <x v="5"/>
    <s v="Manufacturing"/>
    <d v="2024-04-30T00:00:00"/>
    <m/>
    <n v="110000"/>
    <n v="0"/>
    <x v="1"/>
    <n v="1"/>
    <s v="40-49"/>
  </r>
  <r>
    <s v="E02166"/>
    <s v="Genesis"/>
    <s v="Female"/>
    <n v="40"/>
    <s v="Auto Eng"/>
    <x v="0"/>
    <s v="Manufacturing"/>
    <d v="2020-02-26T00:00:00"/>
    <m/>
    <n v="112000"/>
    <n v="0.15"/>
    <x v="1"/>
    <n v="5"/>
    <s v="40-49"/>
  </r>
  <r>
    <s v="E00935"/>
    <s v="Eliza"/>
    <s v="Male"/>
    <n v="45"/>
    <s v=" Dev Eng"/>
    <x v="0"/>
    <s v="Manufacturing"/>
    <d v="2022-09-11T00:00:00"/>
    <m/>
    <n v="114000"/>
    <n v="0"/>
    <x v="1"/>
    <n v="3"/>
    <s v="40-49"/>
  </r>
  <r>
    <s v="E01525"/>
    <s v="Gabriel"/>
    <s v="Male"/>
    <n v="26"/>
    <s v="Sr. Analyst"/>
    <x v="2"/>
    <s v="Manufacturing"/>
    <d v="2024-05-18T00:00:00"/>
    <m/>
    <n v="116000"/>
    <n v="0.11"/>
    <x v="1"/>
    <n v="1"/>
    <s v="20-29"/>
  </r>
  <r>
    <s v="E00386"/>
    <s v="Amelia"/>
    <s v="Female"/>
    <n v="35"/>
    <s v="Quality Eng"/>
    <x v="0"/>
    <s v="Corporate"/>
    <d v="2021-11-09T00:00:00"/>
    <m/>
    <n v="118000"/>
    <n v="0"/>
    <x v="1"/>
    <n v="4"/>
    <s v="30-39"/>
  </r>
  <r>
    <s v="E00416"/>
    <s v="Xavier"/>
    <s v="Male"/>
    <n v="29"/>
    <s v="Ops Eng"/>
    <x v="0"/>
    <s v="Products"/>
    <d v="2020-05-12T00:00:00"/>
    <d v="2022-12-12T00:00:00"/>
    <n v="120000"/>
    <n v="0.28000000000000003"/>
    <x v="0"/>
    <n v="2"/>
    <s v="20-29"/>
  </r>
  <r>
    <s v="E03383"/>
    <s v="Matthew"/>
    <s v="Male"/>
    <n v="35"/>
    <s v="Field Eng"/>
    <x v="0"/>
    <s v="Manufacturing"/>
    <d v="2022-09-11T00:00:00"/>
    <m/>
    <n v="122000"/>
    <n v="0.27"/>
    <x v="1"/>
    <n v="3"/>
    <s v="30-39"/>
  </r>
  <r>
    <s v="E01516"/>
    <s v="Mia"/>
    <s v="Male"/>
    <n v="27"/>
    <s v="Sr. Analyst"/>
    <x v="4"/>
    <s v="R&amp;D"/>
    <d v="2022-10-23T00:00:00"/>
    <m/>
    <n v="124000"/>
    <n v="0"/>
    <x v="1"/>
    <n v="3"/>
    <s v="20-29"/>
  </r>
  <r>
    <s v="E01234"/>
    <s v="Rylee"/>
    <s v="Male"/>
    <n v="26"/>
    <s v="Net Admin"/>
    <x v="5"/>
    <s v="Manufacturing"/>
    <d v="2024-08-23T00:00:00"/>
    <m/>
    <n v="126000"/>
    <n v="0.3"/>
    <x v="1"/>
    <n v="1"/>
    <s v="20-29"/>
  </r>
  <r>
    <s v="E03440"/>
    <s v="Zoe"/>
    <s v="Female"/>
    <n v="27"/>
    <s v="Sr. Analyst"/>
    <x v="3"/>
    <s v="Products"/>
    <d v="2023-11-07T00:00:00"/>
    <m/>
    <n v="128000"/>
    <n v="0"/>
    <x v="1"/>
    <n v="2"/>
    <s v="20-29"/>
  </r>
  <r>
    <s v="E00431"/>
    <s v="Nolan"/>
    <s v="Female"/>
    <n v="30"/>
    <s v=" Dev Eng"/>
    <x v="0"/>
    <s v="R&amp;D"/>
    <d v="2023-10-07T00:00:00"/>
    <m/>
    <n v="130000"/>
    <n v="0"/>
    <x v="1"/>
    <n v="2"/>
    <s v="30-39"/>
  </r>
  <r>
    <s v="E01258"/>
    <s v="Nevaeh"/>
    <s v="Female"/>
    <n v="36"/>
    <s v="Net Admin"/>
    <x v="5"/>
    <s v="R&amp;D"/>
    <d v="2022-04-26T00:00:00"/>
    <m/>
    <n v="132000"/>
    <n v="0"/>
    <x v="1"/>
    <n v="3"/>
    <s v="30-39"/>
  </r>
  <r>
    <s v="E00440"/>
    <s v="Samantha"/>
    <s v="Female"/>
    <n v="45"/>
    <s v="Field Eng"/>
    <x v="0"/>
    <s v="Corporate"/>
    <d v="2020-02-28T00:00:00"/>
    <d v="2023-12-22T00:00:00"/>
    <n v="134000"/>
    <n v="0.1"/>
    <x v="0"/>
    <n v="3"/>
    <s v="40-49"/>
  </r>
  <r>
    <s v="E00595"/>
    <s v="Madeline"/>
    <s v="Female"/>
    <n v="37"/>
    <s v="Auto Eng"/>
    <x v="0"/>
    <s v="Corporate"/>
    <d v="2020-10-12T00:00:00"/>
    <d v="2024-02-10T00:00:00"/>
    <n v="136000"/>
    <n v="0.15"/>
    <x v="0"/>
    <n v="3"/>
    <s v="30-39"/>
  </r>
  <r>
    <s v="E00972"/>
    <s v="Leilani"/>
    <s v="Female"/>
    <n v="38"/>
    <s v=" Dev Eng"/>
    <x v="0"/>
    <s v="Products"/>
    <d v="2022-01-27T00:00:00"/>
    <d v="2024-05-18T00:00:00"/>
    <n v="138000"/>
    <n v="0"/>
    <x v="0"/>
    <n v="2"/>
    <s v="30-39"/>
  </r>
  <r>
    <s v="E04562"/>
    <s v="Connor"/>
    <s v="Female"/>
    <n v="45"/>
    <s v="Sr. Acc Rep"/>
    <x v="1"/>
    <s v="Corporate"/>
    <d v="2024-02-15T00:00:00"/>
    <m/>
    <n v="140000"/>
    <n v="0"/>
    <x v="1"/>
    <n v="1"/>
    <s v="40-49"/>
  </r>
  <r>
    <s v="E02802"/>
    <s v="Ivy"/>
    <s v="Female"/>
    <n v="51"/>
    <s v="Field Eng"/>
    <x v="0"/>
    <s v="Products"/>
    <d v="2024-02-10T00:00:00"/>
    <m/>
    <n v="142000"/>
    <n v="0"/>
    <x v="1"/>
    <n v="2"/>
    <s v="50-59"/>
  </r>
  <r>
    <s v="E01427"/>
    <s v="Andrew"/>
    <s v="Male"/>
    <n v="56"/>
    <s v="Sr. Acc Rep"/>
    <x v="1"/>
    <s v="R&amp;D"/>
    <d v="2020-12-18T00:00:00"/>
    <m/>
    <n v="144000"/>
    <n v="0.13"/>
    <x v="1"/>
    <n v="5"/>
    <s v="50-59"/>
  </r>
  <r>
    <s v="E04568"/>
    <s v="Ezekiel"/>
    <s v="Female"/>
    <n v="53"/>
    <s v="Auto Eng"/>
    <x v="0"/>
    <s v="Products"/>
    <d v="2020-01-07T00:00:00"/>
    <m/>
    <n v="146000"/>
    <n v="0.3"/>
    <x v="1"/>
    <n v="6"/>
    <s v="50-59"/>
  </r>
  <r>
    <s v="E04931"/>
    <s v="Nova"/>
    <s v="Female"/>
    <n v="47"/>
    <s v="Auto Eng"/>
    <x v="0"/>
    <s v="R&amp;D"/>
    <d v="2023-10-07T00:00:00"/>
    <m/>
    <n v="148000"/>
    <n v="0"/>
    <x v="1"/>
    <n v="2"/>
    <s v="40-49"/>
  </r>
  <r>
    <s v="E00443"/>
    <s v="Evelyn"/>
    <s v="Female"/>
    <n v="36"/>
    <s v="Sr. Manger"/>
    <x v="2"/>
    <s v="R&amp;D"/>
    <d v="2021-10-18T00:00:00"/>
    <m/>
    <n v="150000"/>
    <n v="0.08"/>
    <x v="1"/>
    <n v="4"/>
    <s v="30-39"/>
  </r>
  <r>
    <s v="E03890"/>
    <s v="Brooks"/>
    <s v="Female"/>
    <n v="41"/>
    <s v="Sr. Manger"/>
    <x v="3"/>
    <s v="Products"/>
    <d v="2022-08-18T00:00:00"/>
    <m/>
    <n v="152000"/>
    <n v="0.3"/>
    <x v="1"/>
    <n v="3"/>
    <s v="40-49"/>
  </r>
  <r>
    <s v="E01194"/>
    <s v="Scarlett"/>
    <s v="Female"/>
    <n v="30"/>
    <s v="Sr. Manger"/>
    <x v="4"/>
    <s v="Corporate"/>
    <d v="2024-05-28T00:00:00"/>
    <m/>
    <n v="154000"/>
    <n v="0"/>
    <x v="1"/>
    <n v="1"/>
    <s v="30-39"/>
  </r>
  <r>
    <s v="E02875"/>
    <s v="Cora"/>
    <s v="Male"/>
    <n v="30"/>
    <s v="Quality Eng"/>
    <x v="0"/>
    <s v="Manufacturing"/>
    <d v="2022-09-07T00:00:00"/>
    <m/>
    <n v="156000"/>
    <n v="0.09"/>
    <x v="1"/>
    <n v="3"/>
    <s v="30-39"/>
  </r>
  <r>
    <s v="E04959"/>
    <s v="Liam"/>
    <s v="Female"/>
    <n v="38"/>
    <s v="Sr. Manger"/>
    <x v="3"/>
    <s v="Manufacturing"/>
    <d v="2024-01-03T00:00:00"/>
    <m/>
    <n v="158000"/>
    <n v="0"/>
    <x v="1"/>
    <n v="2"/>
    <s v="30-39"/>
  </r>
  <r>
    <s v="E03816"/>
    <s v="Sophia"/>
    <s v="Male"/>
    <n v="28"/>
    <s v="IT Coord"/>
    <x v="5"/>
    <s v="R&amp;D"/>
    <d v="2023-05-28T00:00:00"/>
    <m/>
    <n v="160000"/>
    <n v="0.16"/>
    <x v="1"/>
    <n v="2"/>
    <s v="20-29"/>
  </r>
  <r>
    <s v="E01261"/>
    <s v="Athena"/>
    <s v="Female"/>
    <n v="39"/>
    <s v="Quality Eng"/>
    <x v="0"/>
    <s v="Products"/>
    <d v="2023-11-15T00:00:00"/>
    <d v="2024-08-10T00:00:00"/>
    <n v="162000"/>
    <n v="0"/>
    <x v="0"/>
    <n v="0"/>
    <s v="30-39"/>
  </r>
  <r>
    <s v="E03612"/>
    <s v="Greyson"/>
    <s v="Male"/>
    <n v="31"/>
    <s v="Quality Eng"/>
    <x v="0"/>
    <s v="R&amp;D"/>
    <d v="2020-01-21T00:00:00"/>
    <d v="2024-02-10T00:00:00"/>
    <n v="164000"/>
    <n v="0.1"/>
    <x v="0"/>
    <n v="4"/>
    <s v="30-39"/>
  </r>
  <r>
    <s v="E01388"/>
    <s v="Vivian"/>
    <s v="Male"/>
    <n v="45"/>
    <s v="Ops Eng"/>
    <x v="0"/>
    <s v="Corporate"/>
    <d v="2023-10-07T00:00:00"/>
    <m/>
    <n v="166000"/>
    <n v="0"/>
    <x v="1"/>
    <n v="2"/>
    <s v="40-49"/>
  </r>
  <r>
    <s v="E03875"/>
    <s v="Elena"/>
    <s v="Male"/>
    <n v="50"/>
    <s v="IT Coord"/>
    <x v="5"/>
    <s v="Products"/>
    <d v="2024-04-19T00:00:00"/>
    <m/>
    <n v="168000"/>
    <n v="0"/>
    <x v="1"/>
    <n v="1"/>
    <s v="50-59"/>
  </r>
  <r>
    <s v="E04413"/>
    <s v="Mateo"/>
    <s v="Female"/>
    <n v="36"/>
    <s v="Ops Eng"/>
    <x v="0"/>
    <s v="R&amp;D"/>
    <d v="2020-09-09T00:00:00"/>
    <m/>
    <n v="170000"/>
    <n v="0"/>
    <x v="1"/>
    <n v="5"/>
    <s v="30-39"/>
  </r>
  <r>
    <s v="E00691"/>
    <s v="Sophie"/>
    <s v="Male"/>
    <n v="45"/>
    <s v="Ops Eng"/>
    <x v="0"/>
    <s v="Manufacturing"/>
    <d v="2023-11-03T00:00:00"/>
    <m/>
    <n v="172000"/>
    <n v="0.26"/>
    <x v="1"/>
    <n v="2"/>
    <s v="40-49"/>
  </r>
  <r>
    <s v="E03047"/>
    <s v="Kennedy"/>
    <s v="Male"/>
    <n v="29"/>
    <s v="IT Coord"/>
    <x v="5"/>
    <s v="Manufacturing"/>
    <d v="2024-04-30T00:00:00"/>
    <m/>
    <n v="174000"/>
    <n v="0"/>
    <x v="1"/>
    <n v="1"/>
    <s v="20-29"/>
  </r>
  <r>
    <s v="E04903"/>
    <s v="Levi"/>
    <s v="Male"/>
    <n v="41"/>
    <s v="Auto Eng"/>
    <x v="0"/>
    <s v="Manufacturing"/>
    <d v="2020-02-26T00:00:00"/>
    <d v="2024-02-10T00:00:00"/>
    <n v="176000"/>
    <n v="0.15"/>
    <x v="0"/>
    <n v="3"/>
    <s v="40-49"/>
  </r>
  <r>
    <s v="E04735"/>
    <s v="Julian"/>
    <s v="Male"/>
    <n v="47"/>
    <s v=" Dev Eng"/>
    <x v="0"/>
    <s v="Manufacturing"/>
    <d v="2022-09-11T00:00:00"/>
    <m/>
    <n v="178000"/>
    <n v="0"/>
    <x v="1"/>
    <n v="3"/>
    <s v="40-49"/>
  </r>
  <r>
    <s v="E02850"/>
    <s v="Hannah"/>
    <s v="Female"/>
    <n v="38"/>
    <s v="Sr. Analyst"/>
    <x v="2"/>
    <s v="Manufacturing"/>
    <d v="2024-05-18T00:00:00"/>
    <m/>
    <n v="180000"/>
    <n v="0.21"/>
    <x v="1"/>
    <n v="1"/>
    <s v="30-39"/>
  </r>
  <r>
    <s v="E03583"/>
    <s v="Anthony"/>
    <s v="Female"/>
    <n v="40"/>
    <s v="Quality Eng"/>
    <x v="0"/>
    <s v="Corporate"/>
    <d v="2021-11-09T00:00:00"/>
    <m/>
    <n v="182000"/>
    <n v="0.37"/>
    <x v="1"/>
    <n v="4"/>
    <s v="40-49"/>
  </r>
  <r>
    <s v="E02017"/>
    <s v="Paisley"/>
    <s v="Male"/>
    <n v="45"/>
    <s v="Ops Eng"/>
    <x v="0"/>
    <s v="Products"/>
    <d v="2020-05-12T00:00:00"/>
    <d v="2024-02-10T00:00:00"/>
    <n v="184000"/>
    <n v="0.15"/>
    <x v="0"/>
    <n v="3"/>
    <s v="40-49"/>
  </r>
  <r>
    <s v="E01642"/>
    <s v="Silas"/>
    <s v="Male"/>
    <n v="26"/>
    <s v="Field Eng"/>
    <x v="0"/>
    <s v="Manufacturing"/>
    <d v="2022-09-11T00:00:00"/>
    <m/>
    <n v="186000"/>
    <n v="0.14000000000000001"/>
    <x v="1"/>
    <n v="3"/>
    <s v="20-29"/>
  </r>
  <r>
    <s v="E04379"/>
    <s v="Colton"/>
    <s v="Male"/>
    <n v="35"/>
    <s v="Sr. Analyst"/>
    <x v="4"/>
    <s v="R&amp;D"/>
    <d v="2022-10-23T00:00:00"/>
    <m/>
    <n v="188000"/>
    <n v="0"/>
    <x v="1"/>
    <n v="3"/>
    <s v="30-39"/>
  </r>
  <r>
    <s v="E04131"/>
    <s v="Elias"/>
    <s v="Male"/>
    <n v="29"/>
    <s v="Net Admin"/>
    <x v="5"/>
    <s v="Manufacturing"/>
    <d v="2024-08-23T00:00:00"/>
    <m/>
    <n v="190000"/>
    <n v="0"/>
    <x v="1"/>
    <n v="1"/>
    <s v="20-29"/>
  </r>
  <r>
    <s v="E02872"/>
    <s v="Lily"/>
    <s v="Female"/>
    <n v="35"/>
    <s v="Sr. Analyst"/>
    <x v="3"/>
    <s v="Products"/>
    <d v="2023-11-07T00:00:00"/>
    <m/>
    <n v="192000"/>
    <n v="7.0000000000000007E-2"/>
    <x v="1"/>
    <n v="2"/>
    <s v="30-39"/>
  </r>
  <r>
    <s v="E02331"/>
    <s v="Jaxon"/>
    <s v="Male"/>
    <n v="27"/>
    <s v=" Dev Eng"/>
    <x v="0"/>
    <s v="R&amp;D"/>
    <d v="2023-10-07T00:00:00"/>
    <m/>
    <n v="194000"/>
    <n v="0"/>
    <x v="1"/>
    <n v="2"/>
    <s v="20-29"/>
  </r>
  <r>
    <s v="E00417"/>
    <s v="Elijah"/>
    <s v="Female"/>
    <n v="26"/>
    <s v="Net Admin"/>
    <x v="5"/>
    <s v="R&amp;D"/>
    <d v="2022-04-26T00:00:00"/>
    <m/>
    <n v="196000"/>
    <n v="0"/>
    <x v="1"/>
    <n v="3"/>
    <s v="20-29"/>
  </r>
  <r>
    <s v="E04267"/>
    <s v="Camila"/>
    <s v="Female"/>
    <n v="27"/>
    <s v="Field Eng"/>
    <x v="0"/>
    <s v="Corporate"/>
    <d v="2020-02-28T00:00:00"/>
    <d v="2024-02-10T00:00:00"/>
    <n v="198000"/>
    <n v="0"/>
    <x v="0"/>
    <n v="3"/>
    <s v="20-29"/>
  </r>
  <r>
    <s v="E03061"/>
    <s v="Lucas"/>
    <s v="Female"/>
    <n v="30"/>
    <s v="Auto Eng"/>
    <x v="0"/>
    <s v="Corporate"/>
    <d v="2020-10-12T00:00:00"/>
    <m/>
    <n v="200000"/>
    <n v="0.1"/>
    <x v="1"/>
    <n v="5"/>
    <s v="30-39"/>
  </r>
  <r>
    <s v="E00013"/>
    <s v="Hudson"/>
    <s v="Female"/>
    <n v="36"/>
    <s v=" Dev Eng"/>
    <x v="0"/>
    <s v="Products"/>
    <d v="2022-01-27T00:00:00"/>
    <m/>
    <n v="202000"/>
    <n v="0"/>
    <x v="1"/>
    <n v="4"/>
    <s v="30-39"/>
  </r>
  <r>
    <s v="E04265"/>
    <s v="Gianna"/>
    <s v="Female"/>
    <n v="45"/>
    <s v="Sr. Acc Rep"/>
    <x v="1"/>
    <s v="Corporate"/>
    <d v="2024-02-15T00:00:00"/>
    <m/>
    <n v="204000"/>
    <n v="0"/>
    <x v="1"/>
    <n v="1"/>
    <s v="40-49"/>
  </r>
  <r>
    <s v="E04769"/>
    <s v="Jameson"/>
    <s v="Female"/>
    <n v="37"/>
    <s v="Field Eng"/>
    <x v="0"/>
    <s v="Products"/>
    <d v="2024-02-10T00:00:00"/>
    <m/>
    <n v="206000"/>
    <n v="0"/>
    <x v="1"/>
    <n v="2"/>
    <s v="30-39"/>
  </r>
  <r>
    <s v="E03042"/>
    <s v="Daniel"/>
    <s v="Female"/>
    <n v="38"/>
    <s v="Sr. Acc Rep"/>
    <x v="1"/>
    <s v="R&amp;D"/>
    <d v="2020-12-18T00:00:00"/>
    <m/>
    <n v="208000"/>
    <n v="0"/>
    <x v="1"/>
    <n v="5"/>
    <s v="30-39"/>
  </r>
  <r>
    <s v="E00527"/>
    <s v="Mason"/>
    <s v="Male"/>
    <n v="45"/>
    <s v="Auto Eng"/>
    <x v="0"/>
    <s v="Products"/>
    <d v="2020-01-07T00:00:00"/>
    <m/>
    <n v="210000"/>
    <n v="0"/>
    <x v="1"/>
    <n v="6"/>
    <s v="40-49"/>
  </r>
  <r>
    <s v="E01095"/>
    <s v="Nathan"/>
    <s v="Female"/>
    <n v="51"/>
    <s v="Auto Eng"/>
    <x v="0"/>
    <s v="R&amp;D"/>
    <d v="2023-10-07T00:00:00"/>
    <m/>
    <n v="212000"/>
    <n v="0.33"/>
    <x v="1"/>
    <n v="2"/>
    <s v="50-59"/>
  </r>
  <r>
    <s v="E03131"/>
    <s v="Maria"/>
    <s v="Male"/>
    <n v="56"/>
    <s v="Sr. Manger"/>
    <x v="2"/>
    <s v="R&amp;D"/>
    <d v="2021-10-18T00:00:00"/>
    <d v="2023-01-05T00:00:00"/>
    <n v="214000"/>
    <n v="0.12"/>
    <x v="0"/>
    <n v="1"/>
    <s v="50-59"/>
  </r>
  <r>
    <s v="E01713"/>
    <s v="Charlotte"/>
    <s v="Male"/>
    <n v="53"/>
    <s v="Sr. Manger"/>
    <x v="3"/>
    <s v="Products"/>
    <d v="2022-08-18T00:00:00"/>
    <m/>
    <n v="216000"/>
    <n v="0"/>
    <x v="1"/>
    <n v="3"/>
    <s v="50-59"/>
  </r>
  <r>
    <s v="E00128"/>
    <s v="Jeremiah"/>
    <s v="Male"/>
    <n v="47"/>
    <s v="Sr. Manger"/>
    <x v="4"/>
    <s v="Corporate"/>
    <d v="2024-05-28T00:00:00"/>
    <m/>
    <n v="218000"/>
    <n v="0.28000000000000003"/>
    <x v="1"/>
    <n v="1"/>
    <s v="40-49"/>
  </r>
  <r>
    <s v="E03849"/>
    <s v="Caleb"/>
    <s v="Female"/>
    <n v="36"/>
    <s v="Quality Eng"/>
    <x v="0"/>
    <s v="Manufacturing"/>
    <d v="2022-09-07T00:00:00"/>
    <m/>
    <n v="220000"/>
    <n v="0"/>
    <x v="1"/>
    <n v="3"/>
    <s v="30-39"/>
  </r>
  <r>
    <s v="E02464"/>
    <s v="Carter"/>
    <s v="Male"/>
    <n v="41"/>
    <s v="Sr. Manger"/>
    <x v="3"/>
    <s v="Manufacturing"/>
    <d v="2024-01-03T00:00:00"/>
    <m/>
    <n v="222000"/>
    <n v="0.4"/>
    <x v="1"/>
    <n v="2"/>
    <s v="40-49"/>
  </r>
  <r>
    <s v="E00306"/>
    <s v="Ayla"/>
    <s v="Female"/>
    <n v="30"/>
    <s v="IT Coord"/>
    <x v="5"/>
    <s v="R&amp;D"/>
    <d v="2023-05-28T00:00:00"/>
    <m/>
    <n v="224000"/>
    <n v="0"/>
    <x v="1"/>
    <n v="2"/>
    <s v="30-39"/>
  </r>
  <r>
    <s v="E03737"/>
    <s v="Aubrey"/>
    <s v="Male"/>
    <n v="30"/>
    <s v="Quality Eng"/>
    <x v="0"/>
    <s v="Products"/>
    <d v="2023-11-15T00:00:00"/>
    <m/>
    <n v="226000"/>
    <n v="0.37"/>
    <x v="1"/>
    <n v="2"/>
    <s v="30-39"/>
  </r>
  <r>
    <s v="E02783"/>
    <s v="Luna"/>
    <s v="Female"/>
    <n v="38"/>
    <s v="Quality Eng"/>
    <x v="0"/>
    <s v="R&amp;D"/>
    <d v="2020-01-21T00:00:00"/>
    <m/>
    <n v="228000"/>
    <n v="0.3"/>
    <x v="1"/>
    <n v="6"/>
    <s v="30-39"/>
  </r>
  <r>
    <s v="E02939"/>
    <s v="Brooklyn"/>
    <s v="Male"/>
    <n v="28"/>
    <s v="Ops Eng"/>
    <x v="0"/>
    <s v="Corporate"/>
    <d v="2023-10-07T00:00:00"/>
    <m/>
    <n v="230000"/>
    <n v="0"/>
    <x v="1"/>
    <n v="2"/>
    <s v="20-29"/>
  </r>
  <r>
    <s v="E02706"/>
    <s v="Hadley"/>
    <s v="Female"/>
    <n v="39"/>
    <s v="IT Coord"/>
    <x v="5"/>
    <s v="Products"/>
    <d v="2024-04-19T00:00:00"/>
    <m/>
    <n v="232000"/>
    <n v="0"/>
    <x v="1"/>
    <n v="1"/>
    <s v="30-39"/>
  </r>
  <r>
    <s v="E00170"/>
    <s v="Jonathan"/>
    <s v="Male"/>
    <n v="31"/>
    <s v="Ops Eng"/>
    <x v="0"/>
    <s v="R&amp;D"/>
    <d v="2020-09-09T00:00:00"/>
    <m/>
    <n v="234000"/>
    <n v="0"/>
    <x v="1"/>
    <n v="5"/>
    <s v="30-39"/>
  </r>
  <r>
    <s v="E01425"/>
    <s v="Sarah"/>
    <s v="Male"/>
    <n v="45"/>
    <s v="Ops Eng"/>
    <x v="0"/>
    <s v="Manufacturing"/>
    <d v="2023-11-03T00:00:00"/>
    <m/>
    <n v="236000"/>
    <n v="0.3"/>
    <x v="1"/>
    <n v="2"/>
    <s v="40-49"/>
  </r>
  <r>
    <s v="E00130"/>
    <s v="Ella"/>
    <s v="Female"/>
    <n v="50"/>
    <s v="IT Coord"/>
    <x v="5"/>
    <s v="Manufacturing"/>
    <d v="2024-04-30T00:00:00"/>
    <m/>
    <n v="238000"/>
    <n v="0.33"/>
    <x v="1"/>
    <n v="1"/>
    <s v="50-59"/>
  </r>
  <r>
    <s v="E02094"/>
    <s v="Jordan"/>
    <s v="Female"/>
    <n v="36"/>
    <s v="Auto Eng"/>
    <x v="0"/>
    <s v="Manufacturing"/>
    <d v="2020-02-26T00:00:00"/>
    <m/>
    <n v="240000"/>
    <n v="0"/>
    <x v="1"/>
    <n v="5"/>
    <s v="30-39"/>
  </r>
  <r>
    <s v="E03567"/>
    <s v="Luca"/>
    <s v="Female"/>
    <n v="45"/>
    <s v=" Dev Eng"/>
    <x v="0"/>
    <s v="Manufacturing"/>
    <d v="2022-09-11T00:00:00"/>
    <m/>
    <n v="242000"/>
    <n v="0"/>
    <x v="1"/>
    <n v="3"/>
    <s v="40-49"/>
  </r>
  <r>
    <s v="E04682"/>
    <s v="Wesley"/>
    <s v="Male"/>
    <n v="29"/>
    <s v="Sr. Analyst"/>
    <x v="2"/>
    <s v="Manufacturing"/>
    <d v="2024-05-18T00:00:00"/>
    <m/>
    <n v="244000"/>
    <n v="0.08"/>
    <x v="1"/>
    <n v="1"/>
    <s v="20-29"/>
  </r>
  <r>
    <s v="E00957"/>
    <s v="Hunter"/>
    <s v="Male"/>
    <n v="41"/>
    <s v="Quality Eng"/>
    <x v="0"/>
    <s v="Corporate"/>
    <d v="2021-11-09T00:00:00"/>
    <m/>
    <n v="246000"/>
    <n v="0.14000000000000001"/>
    <x v="1"/>
    <n v="4"/>
    <s v="40-49"/>
  </r>
  <r>
    <s v="E04458"/>
    <s v="Sofia"/>
    <s v="Female"/>
    <n v="47"/>
    <s v="Ops Eng"/>
    <x v="0"/>
    <s v="Products"/>
    <d v="2020-05-12T00:00:00"/>
    <m/>
    <n v="248000"/>
    <n v="0"/>
    <x v="1"/>
    <n v="5"/>
    <s v="40-49"/>
  </r>
  <r>
    <s v="E01499"/>
    <s v="Lucy"/>
    <s v="Female"/>
    <n v="38"/>
    <s v="Field Eng"/>
    <x v="0"/>
    <s v="Manufacturing"/>
    <d v="2022-09-11T00:00:00"/>
    <m/>
    <n v="250000"/>
    <n v="0"/>
    <x v="1"/>
    <n v="3"/>
    <s v="30-39"/>
  </r>
  <r>
    <s v="E00521"/>
    <s v="Kai"/>
    <s v="Female"/>
    <n v="40"/>
    <s v="Sr. Analyst"/>
    <x v="4"/>
    <s v="R&amp;D"/>
    <d v="2022-10-23T00:00:00"/>
    <m/>
    <n v="252000"/>
    <n v="0"/>
    <x v="1"/>
    <n v="3"/>
    <s v="40-49"/>
  </r>
  <r>
    <s v="E03717"/>
    <s v="Melody"/>
    <s v="Male"/>
    <n v="45"/>
    <s v="Net Admin"/>
    <x v="5"/>
    <s v="Manufacturing"/>
    <d v="2024-08-23T00:00:00"/>
    <m/>
    <n v="254000"/>
    <n v="0"/>
    <x v="1"/>
    <n v="1"/>
    <s v="40-49"/>
  </r>
  <r>
    <s v="E01533"/>
    <s v="James"/>
    <s v="Male"/>
    <n v="26"/>
    <s v="Sr. Analyst"/>
    <x v="3"/>
    <s v="Products"/>
    <d v="2023-11-07T00:00:00"/>
    <m/>
    <n v="256000"/>
    <n v="0"/>
    <x v="1"/>
    <n v="2"/>
    <s v="20-29"/>
  </r>
  <r>
    <s v="E04449"/>
    <s v="Owen"/>
    <s v="Female"/>
    <n v="35"/>
    <s v=" Dev Eng"/>
    <x v="0"/>
    <s v="R&amp;D"/>
    <d v="2023-10-07T00:00:00"/>
    <m/>
    <n v="258000"/>
    <n v="0"/>
    <x v="1"/>
    <n v="2"/>
    <s v="30-39"/>
  </r>
  <r>
    <s v="E02855"/>
    <s v="Kinsley"/>
    <s v="Male"/>
    <n v="29"/>
    <s v="Net Admin"/>
    <x v="5"/>
    <s v="R&amp;D"/>
    <d v="2022-04-26T00:00:00"/>
    <m/>
    <n v="260000"/>
    <n v="0"/>
    <x v="1"/>
    <n v="3"/>
    <s v="20-29"/>
  </r>
  <r>
    <s v="E00816"/>
    <s v="Emilia"/>
    <s v="Female"/>
    <n v="35"/>
    <s v="Field Eng"/>
    <x v="0"/>
    <s v="Corporate"/>
    <d v="2020-02-28T00:00:00"/>
    <m/>
    <n v="262000"/>
    <n v="0"/>
    <x v="1"/>
    <n v="5"/>
    <s v="30-39"/>
  </r>
  <r>
    <s v="E02283"/>
    <s v="Eva"/>
    <s v="Female"/>
    <n v="27"/>
    <s v="Auto Eng"/>
    <x v="0"/>
    <s v="Corporate"/>
    <d v="2020-10-12T00:00:00"/>
    <m/>
    <n v="264000"/>
    <n v="0"/>
    <x v="1"/>
    <n v="5"/>
    <s v="20-29"/>
  </r>
  <r>
    <s v="E04888"/>
    <s v="Luke"/>
    <s v="Female"/>
    <n v="26"/>
    <s v=" Dev Eng"/>
    <x v="0"/>
    <s v="Products"/>
    <d v="2022-01-27T00:00:00"/>
    <m/>
    <n v="266000"/>
    <n v="0.1"/>
    <x v="1"/>
    <n v="4"/>
    <s v="20-29"/>
  </r>
  <r>
    <s v="E03907"/>
    <s v="Charles"/>
    <s v="Female"/>
    <n v="27"/>
    <s v="Sr. Acc Rep"/>
    <x v="1"/>
    <s v="Corporate"/>
    <d v="2024-02-15T00:00:00"/>
    <m/>
    <n v="268000"/>
    <n v="0.33"/>
    <x v="1"/>
    <n v="1"/>
    <s v="20-29"/>
  </r>
  <r>
    <s v="E02166"/>
    <s v="Adam"/>
    <s v="Male"/>
    <n v="30"/>
    <s v="Field Eng"/>
    <x v="0"/>
    <s v="Products"/>
    <d v="2024-02-10T00:00:00"/>
    <m/>
    <n v="270000"/>
    <n v="0.05"/>
    <x v="1"/>
    <n v="2"/>
    <s v="30-39"/>
  </r>
  <r>
    <s v="E00431"/>
    <s v="Cooper"/>
    <s v="Female"/>
    <n v="36"/>
    <s v="Sr. Acc Rep"/>
    <x v="1"/>
    <s v="R&amp;D"/>
    <d v="2020-12-18T00:00:00"/>
    <d v="2023-12-13T00:00:00"/>
    <n v="272000"/>
    <n v="0"/>
    <x v="0"/>
    <n v="2"/>
    <s v="30-39"/>
  </r>
  <r>
    <s v="E01501"/>
    <s v="Layla"/>
    <s v="Male"/>
    <n v="45"/>
    <s v="Auto Eng"/>
    <x v="0"/>
    <s v="Products"/>
    <d v="2020-01-07T00:00:00"/>
    <m/>
    <n v="274000"/>
    <n v="0.15"/>
    <x v="1"/>
    <n v="6"/>
    <s v="40-49"/>
  </r>
  <r>
    <s v="E01141"/>
    <s v="Aria"/>
    <s v="Female"/>
    <n v="37"/>
    <s v="Auto Eng"/>
    <x v="0"/>
    <s v="R&amp;D"/>
    <d v="2023-10-07T00:00:00"/>
    <m/>
    <n v="276000"/>
    <n v="0"/>
    <x v="1"/>
    <n v="2"/>
    <s v="30-39"/>
  </r>
  <r>
    <s v="E02254"/>
    <s v="Autumn"/>
    <s v="Female"/>
    <n v="38"/>
    <s v="Sr. Manger"/>
    <x v="2"/>
    <s v="R&amp;D"/>
    <d v="2021-10-18T00:00:00"/>
    <m/>
    <n v="278000"/>
    <n v="0"/>
    <x v="1"/>
    <n v="4"/>
    <s v="30-39"/>
  </r>
  <r>
    <s v="E04504"/>
    <s v="Axel"/>
    <s v="Male"/>
    <n v="45"/>
    <s v="Sr. Manger"/>
    <x v="3"/>
    <s v="Products"/>
    <d v="2022-08-18T00:00:00"/>
    <m/>
    <n v="280000"/>
    <n v="0"/>
    <x v="1"/>
    <n v="3"/>
    <s v="40-49"/>
  </r>
  <r>
    <s v="E03394"/>
    <s v="Cameron"/>
    <s v="Male"/>
    <n v="51"/>
    <s v="Sr. Manger"/>
    <x v="4"/>
    <s v="Corporate"/>
    <d v="2024-05-28T00:00:00"/>
    <m/>
    <n v="282000"/>
    <n v="0.31"/>
    <x v="1"/>
    <n v="1"/>
    <s v="50-59"/>
  </r>
  <r>
    <s v="E02942"/>
    <s v="Clara"/>
    <s v="Female"/>
    <n v="56"/>
    <s v="Quality Eng"/>
    <x v="0"/>
    <s v="Manufacturing"/>
    <d v="2022-09-07T00:00:00"/>
    <m/>
    <n v="284000"/>
    <n v="0.28999999999999998"/>
    <x v="1"/>
    <n v="3"/>
    <s v="50-59"/>
  </r>
  <r>
    <s v="E04130"/>
    <s v="Audrey"/>
    <s v="Male"/>
    <n v="53"/>
    <s v="Sr. Manger"/>
    <x v="3"/>
    <s v="Manufacturing"/>
    <d v="2024-01-03T00:00:00"/>
    <m/>
    <n v="286000"/>
    <n v="0.15"/>
    <x v="1"/>
    <n v="2"/>
    <s v="50-59"/>
  </r>
  <r>
    <s v="E02848"/>
    <s v="Landon"/>
    <s v="Female"/>
    <n v="47"/>
    <s v="IT Coord"/>
    <x v="5"/>
    <s v="R&amp;D"/>
    <d v="2023-05-28T00:00:00"/>
    <m/>
    <n v="288000"/>
    <n v="0"/>
    <x v="1"/>
    <n v="2"/>
    <s v="40-49"/>
  </r>
  <r>
    <s v="E00085"/>
    <s v="Nora"/>
    <s v="Female"/>
    <n v="36"/>
    <s v="Quality Eng"/>
    <x v="0"/>
    <s v="Products"/>
    <d v="2023-11-15T00:00:00"/>
    <m/>
    <n v="290000"/>
    <n v="0.4"/>
    <x v="1"/>
    <n v="2"/>
    <s v="30-39"/>
  </r>
  <r>
    <s v="E03956"/>
    <s v="Joshua"/>
    <s v="Male"/>
    <n v="41"/>
    <s v="Quality Eng"/>
    <x v="0"/>
    <s v="R&amp;D"/>
    <d v="2020-01-21T00:00:00"/>
    <m/>
    <n v="292000"/>
    <n v="0.14000000000000001"/>
    <x v="1"/>
    <n v="6"/>
    <s v="40-49"/>
  </r>
  <r>
    <s v="E00672"/>
    <s v="Logan"/>
    <s v="Male"/>
    <n v="30"/>
    <s v="Ops Eng"/>
    <x v="0"/>
    <s v="Corporate"/>
    <d v="2023-10-07T00:00:00"/>
    <m/>
    <n v="294000"/>
    <n v="0"/>
    <x v="1"/>
    <n v="2"/>
    <s v="30-39"/>
  </r>
  <r>
    <s v="E04618"/>
    <s v="Christopher"/>
    <s v="Male"/>
    <n v="30"/>
    <s v="IT Coord"/>
    <x v="5"/>
    <s v="Products"/>
    <d v="2024-04-19T00:00:00"/>
    <m/>
    <n v="296000"/>
    <n v="0"/>
    <x v="1"/>
    <n v="1"/>
    <s v="30-39"/>
  </r>
  <r>
    <s v="E03506"/>
    <s v="Lillian"/>
    <s v="Female"/>
    <n v="38"/>
    <s v="Ops Eng"/>
    <x v="0"/>
    <s v="R&amp;D"/>
    <d v="2020-09-09T00:00:00"/>
    <m/>
    <n v="298000"/>
    <n v="0.39"/>
    <x v="1"/>
    <n v="5"/>
    <s v="30-39"/>
  </r>
  <r>
    <s v="E00568"/>
    <s v="Julia"/>
    <s v="Male"/>
    <n v="28"/>
    <s v="Ops Eng"/>
    <x v="0"/>
    <s v="Manufacturing"/>
    <d v="2023-11-03T00:00:00"/>
    <m/>
    <n v="300000"/>
    <n v="0.21"/>
    <x v="1"/>
    <n v="2"/>
    <s v="20-29"/>
  </r>
  <r>
    <s v="E00535"/>
    <s v="Hailey"/>
    <s v="Female"/>
    <n v="39"/>
    <s v="IT Coord"/>
    <x v="5"/>
    <s v="Manufacturing"/>
    <d v="2024-04-30T00:00:00"/>
    <m/>
    <n v="302000"/>
    <n v="0.1"/>
    <x v="1"/>
    <n v="1"/>
    <s v="30-39"/>
  </r>
  <r>
    <s v="E04630"/>
    <s v="Quinn"/>
    <s v="Male"/>
    <n v="31"/>
    <s v="Auto Eng"/>
    <x v="0"/>
    <s v="Manufacturing"/>
    <d v="2020-02-26T00:00:00"/>
    <m/>
    <n v="304000"/>
    <n v="0.05"/>
    <x v="1"/>
    <n v="5"/>
    <s v="30-39"/>
  </r>
  <r>
    <s v="E00874"/>
    <s v="Dominic"/>
    <s v="Female"/>
    <n v="45"/>
    <s v=" Dev Eng"/>
    <x v="0"/>
    <s v="Manufacturing"/>
    <d v="2022-09-11T00:00:00"/>
    <m/>
    <n v="306000"/>
    <n v="0.1"/>
    <x v="1"/>
    <n v="3"/>
    <s v="40-49"/>
  </r>
  <r>
    <s v="E01546"/>
    <s v="Robert"/>
    <s v="Male"/>
    <n v="50"/>
    <s v="Sr. Analyst"/>
    <x v="2"/>
    <s v="Manufacturing"/>
    <d v="2024-05-18T00:00:00"/>
    <m/>
    <n v="308000"/>
    <n v="0.31"/>
    <x v="1"/>
    <n v="1"/>
    <s v="50-59"/>
  </r>
  <r>
    <s v="E00941"/>
    <s v="Roman"/>
    <s v="Female"/>
    <n v="36"/>
    <s v="Quality Eng"/>
    <x v="0"/>
    <s v="Corporate"/>
    <d v="2021-11-09T00:00:00"/>
    <m/>
    <n v="310000"/>
    <n v="0"/>
    <x v="1"/>
    <n v="4"/>
    <s v="30-39"/>
  </r>
  <r>
    <s v="E03446"/>
    <s v="Ellie"/>
    <s v="Female"/>
    <n v="45"/>
    <s v="Ops Eng"/>
    <x v="0"/>
    <s v="Products"/>
    <d v="2020-05-12T00:00:00"/>
    <m/>
    <n v="312000"/>
    <n v="0.08"/>
    <x v="1"/>
    <n v="5"/>
    <s v="40-49"/>
  </r>
  <r>
    <s v="E01361"/>
    <s v="Violet"/>
    <s v="Male"/>
    <n v="29"/>
    <s v="Field Eng"/>
    <x v="0"/>
    <s v="Manufacturing"/>
    <d v="2022-09-11T00:00:00"/>
    <m/>
    <n v="314000"/>
    <n v="0"/>
    <x v="1"/>
    <n v="3"/>
    <s v="20-29"/>
  </r>
  <r>
    <s v="E01631"/>
    <s v="Isaac"/>
    <s v="Male"/>
    <n v="41"/>
    <s v="Sr. Analyst"/>
    <x v="4"/>
    <s v="R&amp;D"/>
    <d v="2022-10-23T00:00:00"/>
    <m/>
    <n v="316000"/>
    <n v="0"/>
    <x v="1"/>
    <n v="3"/>
    <s v="40-49"/>
  </r>
  <r>
    <s v="E03719"/>
    <s v="Jayden"/>
    <s v="Male"/>
    <n v="47"/>
    <s v="Net Admin"/>
    <x v="5"/>
    <s v="Manufacturing"/>
    <d v="2024-08-23T00:00:00"/>
    <m/>
    <n v="318000"/>
    <n v="0"/>
    <x v="1"/>
    <n v="1"/>
    <s v="40-49"/>
  </r>
  <r>
    <s v="E03269"/>
    <s v="Aiden"/>
    <s v="Female"/>
    <n v="38"/>
    <s v="Sr. Analyst"/>
    <x v="3"/>
    <s v="Products"/>
    <d v="2023-11-07T00:00:00"/>
    <m/>
    <n v="320000"/>
    <n v="0"/>
    <x v="1"/>
    <n v="2"/>
    <s v="30-39"/>
  </r>
  <r>
    <s v="E01037"/>
    <s v="Ruby"/>
    <s v="Female"/>
    <n v="40"/>
    <s v=" Dev Eng"/>
    <x v="0"/>
    <s v="R&amp;D"/>
    <d v="2023-10-07T00:00:00"/>
    <m/>
    <n v="322000"/>
    <n v="0"/>
    <x v="1"/>
    <n v="2"/>
    <s v="40-49"/>
  </r>
  <r>
    <s v="E00671"/>
    <s v="Leo"/>
    <s v="Male"/>
    <n v="45"/>
    <s v="Net Admin"/>
    <x v="5"/>
    <s v="R&amp;D"/>
    <d v="2022-04-26T00:00:00"/>
    <m/>
    <n v="324000"/>
    <n v="0"/>
    <x v="1"/>
    <n v="3"/>
    <s v="40-49"/>
  </r>
  <r>
    <s v="E02216"/>
    <s v="Allison"/>
    <s v="Female"/>
    <n v="26"/>
    <s v="Field Eng"/>
    <x v="0"/>
    <s v="Corporate"/>
    <d v="2020-02-28T00:00:00"/>
    <m/>
    <n v="326000"/>
    <n v="0"/>
    <x v="1"/>
    <n v="5"/>
    <s v="20-29"/>
  </r>
  <r>
    <s v="E02803"/>
    <s v="Jace"/>
    <s v="Female"/>
    <n v="35"/>
    <s v="Auto Eng"/>
    <x v="0"/>
    <s v="Corporate"/>
    <d v="2020-10-12T00:00:00"/>
    <m/>
    <n v="328000"/>
    <n v="0"/>
    <x v="1"/>
    <n v="5"/>
    <s v="30-39"/>
  </r>
  <r>
    <s v="E01584"/>
    <s v="Jacob"/>
    <s v="Female"/>
    <n v="29"/>
    <s v=" Dev Eng"/>
    <x v="0"/>
    <s v="Products"/>
    <d v="2022-01-27T00:00:00"/>
    <m/>
    <n v="330000"/>
    <n v="0.15"/>
    <x v="1"/>
    <n v="4"/>
    <s v="20-29"/>
  </r>
  <r>
    <s v="E02489"/>
    <s v="Liliana"/>
    <s v="Female"/>
    <n v="35"/>
    <s v="Sr. Acc Rep"/>
    <x v="1"/>
    <s v="Corporate"/>
    <d v="2024-02-15T00:00:00"/>
    <m/>
    <n v="332000"/>
    <n v="0"/>
    <x v="1"/>
    <n v="1"/>
    <s v="30-39"/>
  </r>
  <r>
    <s v="E03189"/>
    <s v="Raelynn"/>
    <s v="Female"/>
    <n v="27"/>
    <s v="Field Eng"/>
    <x v="0"/>
    <s v="Products"/>
    <d v="2024-02-10T00:00:00"/>
    <m/>
    <n v="334000"/>
    <n v="0.13"/>
    <x v="1"/>
    <n v="2"/>
    <s v="20-29"/>
  </r>
  <r>
    <s v="E03560"/>
    <s v="Grace"/>
    <s v="Male"/>
    <n v="26"/>
    <s v="Sr. Acc Rep"/>
    <x v="1"/>
    <s v="R&amp;D"/>
    <d v="2020-12-18T00:00:00"/>
    <m/>
    <n v="336000"/>
    <n v="0"/>
    <x v="1"/>
    <n v="5"/>
    <s v="20-29"/>
  </r>
  <r>
    <s v="E00769"/>
    <s v="Addison"/>
    <s v="Female"/>
    <n v="27"/>
    <s v="Auto Eng"/>
    <x v="0"/>
    <s v="Products"/>
    <d v="2020-01-07T00:00:00"/>
    <m/>
    <n v="338000"/>
    <n v="0.1"/>
    <x v="1"/>
    <n v="6"/>
    <s v="20-29"/>
  </r>
  <r>
    <s v="E02791"/>
    <s v="Josephine"/>
    <s v="Male"/>
    <n v="30"/>
    <s v="Auto Eng"/>
    <x v="0"/>
    <s v="R&amp;D"/>
    <d v="2023-10-07T00:00:00"/>
    <m/>
    <n v="340000"/>
    <n v="0.3"/>
    <x v="1"/>
    <n v="2"/>
    <s v="30-39"/>
  </r>
  <r>
    <s v="E02333"/>
    <s v="Maverick"/>
    <s v="Female"/>
    <n v="36"/>
    <s v="Sr. Manger"/>
    <x v="2"/>
    <s v="R&amp;D"/>
    <d v="2021-10-18T00:00:00"/>
    <m/>
    <n v="342000"/>
    <n v="0"/>
    <x v="1"/>
    <n v="4"/>
    <s v="30-39"/>
  </r>
  <r>
    <s v="E01002"/>
    <s v="Austin"/>
    <s v="Male"/>
    <n v="45"/>
    <s v="Sr. Manger"/>
    <x v="3"/>
    <s v="Products"/>
    <d v="2022-08-18T00:00:00"/>
    <m/>
    <n v="344000"/>
    <n v="0.06"/>
    <x v="1"/>
    <n v="3"/>
    <s v="40-49"/>
  </r>
  <r>
    <s v="E03520"/>
    <s v="Angel"/>
    <s v="Female"/>
    <n v="37"/>
    <s v="Sr. Manger"/>
    <x v="4"/>
    <s v="Corporate"/>
    <d v="2024-05-28T00:00:00"/>
    <m/>
    <n v="346000"/>
    <n v="0"/>
    <x v="1"/>
    <n v="1"/>
    <s v="30-39"/>
  </r>
  <r>
    <s v="E00752"/>
    <s v="Nicholas"/>
    <s v="Female"/>
    <n v="38"/>
    <s v="Quality Eng"/>
    <x v="0"/>
    <s v="Manufacturing"/>
    <d v="2022-09-07T00:00:00"/>
    <m/>
    <n v="348000"/>
    <n v="0.3"/>
    <x v="1"/>
    <n v="3"/>
    <s v="30-39"/>
  </r>
  <r>
    <s v="E00233"/>
    <s v="Alice"/>
    <s v="Female"/>
    <n v="45"/>
    <s v="Sr. Manger"/>
    <x v="3"/>
    <s v="Manufacturing"/>
    <d v="2024-01-03T00:00:00"/>
    <m/>
    <n v="350000"/>
    <n v="0"/>
    <x v="1"/>
    <n v="2"/>
    <s v="40-49"/>
  </r>
  <r>
    <s v="E02639"/>
    <s v="Serenity"/>
    <s v="Male"/>
    <n v="51"/>
    <s v="IT Coord"/>
    <x v="5"/>
    <s v="R&amp;D"/>
    <d v="2023-05-28T00:00:00"/>
    <d v="2024-09-01T00:00:00"/>
    <n v="352000"/>
    <n v="0.32"/>
    <x v="0"/>
    <n v="1"/>
    <s v="50-59"/>
  </r>
  <r>
    <s v="E00697"/>
    <s v="Madison"/>
    <s v="Female"/>
    <n v="56"/>
    <s v="Quality Eng"/>
    <x v="0"/>
    <s v="Products"/>
    <d v="2023-11-15T00:00:00"/>
    <m/>
    <n v="354000"/>
    <n v="0"/>
    <x v="1"/>
    <n v="2"/>
    <s v="50-59"/>
  </r>
  <r>
    <s v="E02183"/>
    <s v="Maya"/>
    <s v="Female"/>
    <n v="53"/>
    <s v="Quality Eng"/>
    <x v="0"/>
    <s v="R&amp;D"/>
    <d v="2020-01-21T00:00:00"/>
    <m/>
    <n v="356000"/>
    <n v="0"/>
    <x v="1"/>
    <n v="6"/>
    <s v="50-59"/>
  </r>
  <r>
    <s v="E00715"/>
    <s v="Olivia"/>
    <s v="Male"/>
    <n v="47"/>
    <s v="Ops Eng"/>
    <x v="0"/>
    <s v="Corporate"/>
    <d v="2023-10-07T00:00:00"/>
    <m/>
    <n v="358000"/>
    <n v="0.39"/>
    <x v="1"/>
    <n v="2"/>
    <s v="40-49"/>
  </r>
  <r>
    <s v="E04288"/>
    <s v="Eloise"/>
    <s v="Female"/>
    <n v="36"/>
    <s v="IT Coord"/>
    <x v="5"/>
    <s v="Products"/>
    <d v="2024-04-19T00:00:00"/>
    <m/>
    <n v="360000"/>
    <n v="0"/>
    <x v="1"/>
    <n v="1"/>
    <s v="30-39"/>
  </r>
  <r>
    <s v="E02421"/>
    <s v="Lydia"/>
    <s v="Male"/>
    <n v="41"/>
    <s v="Ops Eng"/>
    <x v="0"/>
    <s v="R&amp;D"/>
    <d v="2020-09-09T00:00:00"/>
    <m/>
    <n v="362000"/>
    <n v="0.22"/>
    <x v="1"/>
    <n v="5"/>
    <s v="40-49"/>
  </r>
  <r>
    <s v="E00523"/>
    <s v="Savannah"/>
    <s v="Male"/>
    <n v="30"/>
    <s v="Ops Eng"/>
    <x v="0"/>
    <s v="Manufacturing"/>
    <d v="2023-11-03T00:00:00"/>
    <m/>
    <n v="364000"/>
    <n v="0"/>
    <x v="1"/>
    <n v="2"/>
    <s v="30-39"/>
  </r>
  <r>
    <s v="E03615"/>
    <s v="Natalie"/>
    <s v="Male"/>
    <n v="30"/>
    <s v="IT Coord"/>
    <x v="5"/>
    <s v="Manufacturing"/>
    <d v="2024-04-30T00:00:00"/>
    <m/>
    <n v="366000"/>
    <n v="0"/>
    <x v="1"/>
    <n v="1"/>
    <s v="30-39"/>
  </r>
  <r>
    <s v="E02761"/>
    <s v="Adeline"/>
    <s v="Female"/>
    <n v="38"/>
    <s v="Auto Eng"/>
    <x v="0"/>
    <s v="Manufacturing"/>
    <d v="2020-02-26T00:00:00"/>
    <m/>
    <n v="368000"/>
    <n v="7.0000000000000007E-2"/>
    <x v="1"/>
    <n v="5"/>
    <s v="30-39"/>
  </r>
  <r>
    <s v="E02121"/>
    <s v="Eliana"/>
    <s v="Male"/>
    <n v="28"/>
    <s v=" Dev Eng"/>
    <x v="0"/>
    <s v="Manufacturing"/>
    <d v="2022-09-11T00:00:00"/>
    <m/>
    <n v="370000"/>
    <n v="0"/>
    <x v="1"/>
    <n v="3"/>
    <s v="20-29"/>
  </r>
  <r>
    <s v="E01486"/>
    <s v="Theodore"/>
    <s v="Female"/>
    <n v="39"/>
    <s v="Sr. Analyst"/>
    <x v="2"/>
    <s v="Manufacturing"/>
    <d v="2024-05-18T00:00:00"/>
    <m/>
    <n v="372000"/>
    <n v="0.4"/>
    <x v="1"/>
    <n v="1"/>
    <s v="30-39"/>
  </r>
  <r>
    <s v="E00725"/>
    <s v="Bella"/>
    <s v="Male"/>
    <n v="31"/>
    <s v="Quality Eng"/>
    <x v="0"/>
    <s v="Corporate"/>
    <d v="2021-11-09T00:00:00"/>
    <m/>
    <n v="374000"/>
    <n v="0"/>
    <x v="1"/>
    <n v="4"/>
    <s v="30-39"/>
  </r>
  <r>
    <s v="E03027"/>
    <s v="Everett"/>
    <s v="Male"/>
    <n v="45"/>
    <s v="Ops Eng"/>
    <x v="0"/>
    <s v="Products"/>
    <d v="2020-05-12T00:00:00"/>
    <m/>
    <n v="376000"/>
    <n v="0.15"/>
    <x v="1"/>
    <n v="5"/>
    <s v="40-49"/>
  </r>
  <r>
    <s v="E03689"/>
    <s v="Madelyn"/>
    <s v="Female"/>
    <n v="50"/>
    <s v="Field Eng"/>
    <x v="0"/>
    <s v="Manufacturing"/>
    <d v="2022-09-11T00:00:00"/>
    <m/>
    <n v="378000"/>
    <n v="0"/>
    <x v="1"/>
    <n v="3"/>
    <s v="50-59"/>
  </r>
  <r>
    <s v="E01986"/>
    <s v="Adrian"/>
    <s v="Female"/>
    <n v="36"/>
    <s v="Sr. Analyst"/>
    <x v="4"/>
    <s v="R&amp;D"/>
    <d v="2022-10-23T00:00:00"/>
    <m/>
    <n v="380000"/>
    <n v="0.05"/>
    <x v="1"/>
    <n v="3"/>
    <s v="30-39"/>
  </r>
  <r>
    <s v="E01286"/>
    <s v="Carson"/>
    <s v="Male"/>
    <n v="45"/>
    <s v="Net Admin"/>
    <x v="5"/>
    <s v="Manufacturing"/>
    <d v="2024-08-23T00:00:00"/>
    <m/>
    <n v="382000"/>
    <n v="0"/>
    <x v="1"/>
    <n v="1"/>
    <s v="40-49"/>
  </r>
  <r>
    <s v="E01409"/>
    <s v="Josiah"/>
    <s v="Male"/>
    <n v="29"/>
    <s v="Sr. Analyst"/>
    <x v="3"/>
    <s v="Products"/>
    <d v="2023-11-07T00:00:00"/>
    <m/>
    <n v="384000"/>
    <n v="0"/>
    <x v="1"/>
    <n v="2"/>
    <s v="20-29"/>
  </r>
  <r>
    <s v="E00626"/>
    <s v="Claire"/>
    <s v="Male"/>
    <n v="41"/>
    <s v=" Dev Eng"/>
    <x v="0"/>
    <s v="R&amp;D"/>
    <d v="2023-10-07T00:00:00"/>
    <m/>
    <n v="386000"/>
    <n v="0"/>
    <x v="1"/>
    <n v="2"/>
    <s v="40-49"/>
  </r>
  <r>
    <s v="E04342"/>
    <s v="Peyton"/>
    <s v="Female"/>
    <n v="47"/>
    <s v="Net Admin"/>
    <x v="5"/>
    <s v="R&amp;D"/>
    <d v="2022-04-26T00:00:00"/>
    <m/>
    <n v="388000"/>
    <n v="0.37"/>
    <x v="1"/>
    <n v="3"/>
    <s v="40-49"/>
  </r>
  <r>
    <s v="E03904"/>
    <s v="Naomi"/>
    <s v="Male"/>
    <n v="46"/>
    <s v="Field Eng"/>
    <x v="0"/>
    <s v="Corporate"/>
    <d v="2020-02-28T00:00:00"/>
    <m/>
    <n v="390000"/>
    <n v="0"/>
    <x v="1"/>
    <n v="5"/>
    <s v="40-49"/>
  </r>
  <r>
    <s v="E01291"/>
    <s v="Lyla"/>
    <s v="Male"/>
    <n v="46"/>
    <s v="Auto Eng"/>
    <x v="0"/>
    <s v="Corporate"/>
    <d v="2020-10-12T00:00:00"/>
    <m/>
    <n v="392000"/>
    <n v="0"/>
    <x v="1"/>
    <n v="5"/>
    <s v="40-49"/>
  </r>
  <r>
    <s v="E00917"/>
    <s v="Easton"/>
    <s v="Female"/>
    <n v="45"/>
    <s v=" Dev Eng"/>
    <x v="0"/>
    <s v="Products"/>
    <d v="2022-01-27T00:00:00"/>
    <m/>
    <n v="394000"/>
    <n v="0.36"/>
    <x v="1"/>
    <n v="4"/>
    <s v="40-49"/>
  </r>
  <r>
    <s v="E01484"/>
    <s v="Hazel"/>
    <s v="Female"/>
    <n v="26"/>
    <s v="Sr. Acc Rep"/>
    <x v="1"/>
    <s v="Corporate"/>
    <d v="2024-02-15T00:00:00"/>
    <m/>
    <n v="396000"/>
    <n v="0"/>
    <x v="1"/>
    <n v="1"/>
    <s v="20-29"/>
  </r>
  <r>
    <s v="E03864"/>
    <s v="Ryan"/>
    <s v="Female"/>
    <n v="35"/>
    <s v="Field Eng"/>
    <x v="0"/>
    <s v="Products"/>
    <d v="2024-02-10T00:00:00"/>
    <m/>
    <n v="398000"/>
    <n v="0"/>
    <x v="1"/>
    <n v="2"/>
    <s v="30-39"/>
  </r>
  <r>
    <s v="E00488"/>
    <s v="Chloe"/>
    <s v="Male"/>
    <n v="29"/>
    <s v="Sr. Acc Rep"/>
    <x v="1"/>
    <s v="R&amp;D"/>
    <d v="2020-12-18T00:00:00"/>
    <m/>
    <n v="400000"/>
    <n v="0"/>
    <x v="1"/>
    <n v="5"/>
    <s v="20-29"/>
  </r>
  <r>
    <s v="E02227"/>
    <s v="Kayden"/>
    <s v="Female"/>
    <n v="35"/>
    <s v="Auto Eng"/>
    <x v="0"/>
    <s v="Products"/>
    <d v="2020-01-07T00:00:00"/>
    <m/>
    <n v="402000"/>
    <n v="0"/>
    <x v="1"/>
    <n v="6"/>
    <s v="30-39"/>
  </r>
  <r>
    <s v="E04802"/>
    <s v="Sebastian"/>
    <s v="Male"/>
    <n v="27"/>
    <s v="Auto Eng"/>
    <x v="0"/>
    <s v="R&amp;D"/>
    <d v="2023-10-07T00:00:00"/>
    <m/>
    <n v="404000"/>
    <n v="0"/>
    <x v="1"/>
    <n v="2"/>
    <s v="20-29"/>
  </r>
  <r>
    <s v="E01970"/>
    <s v="Valentina"/>
    <s v="Female"/>
    <n v="26"/>
    <s v="Sr. Manger"/>
    <x v="2"/>
    <s v="R&amp;D"/>
    <d v="2021-10-18T00:00:00"/>
    <m/>
    <n v="406000"/>
    <n v="0.19"/>
    <x v="1"/>
    <n v="4"/>
    <s v="20-29"/>
  </r>
  <r>
    <s v="E02813"/>
    <s v="Aaron"/>
    <s v="Male"/>
    <n v="27"/>
    <s v="Sr. Manger"/>
    <x v="3"/>
    <s v="Products"/>
    <d v="2022-08-18T00:00:00"/>
    <d v="2024-01-15T00:00:00"/>
    <n v="408000"/>
    <n v="0.15"/>
    <x v="0"/>
    <n v="1"/>
    <s v="20-29"/>
  </r>
  <r>
    <s v="E02031"/>
    <s v="Ariana"/>
    <s v="Male"/>
    <n v="30"/>
    <s v="Sr. Manger"/>
    <x v="4"/>
    <s v="Corporate"/>
    <d v="2024-05-28T00:00:00"/>
    <m/>
    <n v="410000"/>
    <n v="0"/>
    <x v="1"/>
    <n v="1"/>
    <s v="30-39"/>
  </r>
  <r>
    <s v="E03252"/>
    <s v="Jackson"/>
    <s v="Male"/>
    <n v="46"/>
    <s v="Quality Eng"/>
    <x v="0"/>
    <s v="Manufacturing"/>
    <d v="2022-09-07T00:00:00"/>
    <m/>
    <n v="412000"/>
    <n v="0.09"/>
    <x v="1"/>
    <n v="3"/>
    <s v="40-49"/>
  </r>
  <r>
    <s v="E04871"/>
    <s v="Sadie"/>
    <s v="Female"/>
    <n v="45"/>
    <s v="Sr. Manger"/>
    <x v="3"/>
    <s v="Manufacturing"/>
    <d v="2024-01-03T00:00:00"/>
    <m/>
    <n v="414000"/>
    <n v="0"/>
    <x v="1"/>
    <n v="2"/>
    <s v="40-49"/>
  </r>
  <r>
    <s v="E03547"/>
    <s v="Aaliyah"/>
    <s v="Male"/>
    <n v="46"/>
    <s v="IT Coord"/>
    <x v="5"/>
    <s v="R&amp;D"/>
    <d v="2023-05-28T00:00:00"/>
    <m/>
    <n v="416000"/>
    <n v="0"/>
    <x v="1"/>
    <n v="2"/>
    <s v="40-49"/>
  </r>
  <r>
    <s v="E04742"/>
    <s v="Oliver"/>
    <s v="Female"/>
    <n v="38"/>
    <s v="Quality Eng"/>
    <x v="0"/>
    <s v="Products"/>
    <d v="2023-11-15T00:00:00"/>
    <m/>
    <n v="418000"/>
    <n v="0.4"/>
    <x v="1"/>
    <n v="2"/>
    <s v="30-39"/>
  </r>
  <r>
    <s v="E01070"/>
    <s v="Davis"/>
    <s v="Female"/>
    <n v="45"/>
    <s v="Quality Eng"/>
    <x v="0"/>
    <s v="R&amp;D"/>
    <d v="2020-01-21T00:00:00"/>
    <m/>
    <n v="420000"/>
    <n v="0.09"/>
    <x v="1"/>
    <n v="6"/>
    <s v="40-49"/>
  </r>
  <r>
    <s v="E04359"/>
    <s v="Dinh"/>
    <s v="Female"/>
    <n v="51"/>
    <s v="Ops Eng"/>
    <x v="0"/>
    <s v="Corporate"/>
    <d v="2023-10-07T00:00:00"/>
    <m/>
    <n v="422000"/>
    <n v="0.31"/>
    <x v="1"/>
    <n v="2"/>
    <s v="50-59"/>
  </r>
  <r>
    <s v="E03268"/>
    <s v="Sanders"/>
    <s v="Female"/>
    <n v="56"/>
    <s v="IT Coord"/>
    <x v="5"/>
    <s v="Products"/>
    <d v="2024-04-19T00:00:00"/>
    <m/>
    <n v="424000"/>
    <n v="0"/>
    <x v="1"/>
    <n v="1"/>
    <s v="50-59"/>
  </r>
  <r>
    <s v="E04035"/>
    <s v="Vo"/>
    <s v="Female"/>
    <n v="53"/>
    <s v="Ops Eng"/>
    <x v="0"/>
    <s v="R&amp;D"/>
    <d v="2020-09-09T00:00:00"/>
    <d v="2023-05-06T00:00:00"/>
    <n v="426000"/>
    <n v="0"/>
    <x v="0"/>
    <n v="2"/>
    <s v="50-59"/>
  </r>
  <r>
    <s v="E01221"/>
    <s v="Gupta"/>
    <s v="Male"/>
    <n v="47"/>
    <s v="Ops Eng"/>
    <x v="0"/>
    <s v="Manufacturing"/>
    <d v="2023-11-03T00:00:00"/>
    <m/>
    <n v="428000"/>
    <n v="0"/>
    <x v="1"/>
    <n v="2"/>
    <s v="40-49"/>
  </r>
  <r>
    <s v="E00276"/>
    <s v="Barnes"/>
    <s v="Male"/>
    <n v="36"/>
    <s v="IT Coord"/>
    <x v="5"/>
    <s v="Manufacturing"/>
    <d v="2021-04-30T00:00:00"/>
    <d v="2023-07-17T00:00:00"/>
    <n v="430000"/>
    <n v="0.14000000000000001"/>
    <x v="0"/>
    <n v="2"/>
    <s v="30-39"/>
  </r>
  <r>
    <s v="E01687"/>
    <s v="Martin"/>
    <s v="Female"/>
    <n v="41"/>
    <s v="Auto Eng"/>
    <x v="0"/>
    <s v="Manufacturing"/>
    <d v="2020-02-26T00:00:00"/>
    <m/>
    <n v="432000"/>
    <n v="0"/>
    <x v="1"/>
    <n v="5"/>
    <s v="40-49"/>
  </r>
  <r>
    <s v="E02844"/>
    <s v="Bailey"/>
    <s v="Male"/>
    <n v="30"/>
    <s v=" Dev Eng"/>
    <x v="0"/>
    <s v="Manufacturing"/>
    <d v="2022-09-11T00:00:00"/>
    <m/>
    <n v="434000"/>
    <n v="0.15"/>
    <x v="1"/>
    <n v="3"/>
    <s v="30-39"/>
  </r>
  <r>
    <s v="E01263"/>
    <s v="Walker"/>
    <s v="Female"/>
    <n v="30"/>
    <s v="Sr. Analyst"/>
    <x v="2"/>
    <s v="Manufacturing"/>
    <d v="2024-05-18T00:00:00"/>
    <m/>
    <n v="436000"/>
    <n v="0"/>
    <x v="1"/>
    <n v="1"/>
    <s v="30-39"/>
  </r>
  <r>
    <s v="E00119"/>
    <s v="Ali"/>
    <s v="Male"/>
    <n v="38"/>
    <s v="Quality Eng"/>
    <x v="0"/>
    <s v="Corporate"/>
    <d v="2021-11-09T00:00:00"/>
    <d v="2023-06-25T00:00:00"/>
    <n v="438000"/>
    <n v="0.22"/>
    <x v="0"/>
    <n v="1"/>
    <s v="30-39"/>
  </r>
  <r>
    <s v="E03935"/>
    <s v="Rogers"/>
    <s v="Male"/>
    <n v="31"/>
    <s v="Ops Eng"/>
    <x v="0"/>
    <s v="Products"/>
    <d v="2020-05-12T00:00:00"/>
    <m/>
    <n v="440000"/>
    <n v="0.3"/>
    <x v="1"/>
    <n v="5"/>
    <s v="30-39"/>
  </r>
  <r>
    <s v="E00742"/>
    <s v="Jones"/>
    <s v="Female"/>
    <n v="39"/>
    <s v="Field Eng"/>
    <x v="0"/>
    <s v="Manufacturing"/>
    <d v="2022-09-11T00:00:00"/>
    <m/>
    <n v="442000"/>
    <n v="7.0000000000000007E-2"/>
    <x v="1"/>
    <n v="3"/>
    <s v="30-39"/>
  </r>
  <r>
    <s v="E02810"/>
    <s v="Ng"/>
    <s v="Male"/>
    <n v="31"/>
    <s v="Sr. Analyst"/>
    <x v="4"/>
    <s v="R&amp;D"/>
    <d v="2022-10-23T00:00:00"/>
    <m/>
    <n v="444000"/>
    <n v="0.11"/>
    <x v="1"/>
    <n v="3"/>
    <s v="30-39"/>
  </r>
  <r>
    <s v="E01860"/>
    <s v="Yang"/>
    <s v="Female"/>
    <n v="45"/>
    <s v="Net Admin"/>
    <x v="5"/>
    <s v="Manufacturing"/>
    <d v="2024-08-23T00:00:00"/>
    <m/>
    <n v="446000"/>
    <n v="0.06"/>
    <x v="1"/>
    <n v="1"/>
    <s v="40-49"/>
  </r>
  <r>
    <s v="E04890"/>
    <s v="Xi"/>
    <s v="Male"/>
    <n v="50"/>
    <s v="Sr. Analyst"/>
    <x v="3"/>
    <s v="Products"/>
    <d v="2023-11-07T00:00:00"/>
    <m/>
    <n v="448000"/>
    <n v="0.12"/>
    <x v="1"/>
    <n v="2"/>
    <s v="50-59"/>
  </r>
  <r>
    <s v="E02285"/>
    <s v="Powell"/>
    <s v="Male"/>
    <n v="36"/>
    <s v=" Dev Eng"/>
    <x v="0"/>
    <s v="R&amp;D"/>
    <d v="2023-10-07T00:00:00"/>
    <m/>
    <n v="450000"/>
    <n v="0.16"/>
    <x v="1"/>
    <n v="2"/>
    <s v="30-39"/>
  </r>
  <r>
    <s v="E00842"/>
    <s v="Silva"/>
    <s v="Female"/>
    <n v="45"/>
    <s v="Net Admin"/>
    <x v="5"/>
    <s v="R&amp;D"/>
    <d v="2022-04-26T00:00:00"/>
    <m/>
    <n v="452000"/>
    <n v="0.35"/>
    <x v="1"/>
    <n v="3"/>
    <s v="40-49"/>
  </r>
  <r>
    <s v="E01271"/>
    <s v="Dang"/>
    <s v="Male"/>
    <n v="31"/>
    <s v="Field Eng"/>
    <x v="0"/>
    <s v="Corporate"/>
    <d v="2020-02-28T00:00:00"/>
    <m/>
    <n v="454000"/>
    <n v="0.18"/>
    <x v="1"/>
    <n v="5"/>
    <s v="30-39"/>
  </r>
  <r>
    <s v="E01921"/>
    <s v="Alvarado"/>
    <s v="Female"/>
    <n v="41"/>
    <s v="Auto Eng"/>
    <x v="0"/>
    <s v="Corporate"/>
    <d v="2020-10-12T00:00:00"/>
    <m/>
    <n v="456000"/>
    <n v="0.1"/>
    <x v="1"/>
    <n v="5"/>
    <s v="40-49"/>
  </r>
  <r>
    <s v="E03664"/>
    <s v="Rivera"/>
    <s v="Female"/>
    <n v="47"/>
    <s v=" Dev Eng"/>
    <x v="0"/>
    <s v="Products"/>
    <d v="2022-01-27T00:00:00"/>
    <m/>
    <n v="458000"/>
    <n v="0.11"/>
    <x v="1"/>
    <n v="4"/>
    <s v="40-49"/>
  </r>
  <r>
    <s v="E00813"/>
    <s v="Dixon"/>
    <s v="Female"/>
    <n v="38"/>
    <s v="Sr. Acc Rep"/>
    <x v="1"/>
    <s v="Corporate"/>
    <d v="2024-02-15T00:00:00"/>
    <m/>
    <n v="460000"/>
    <n v="0"/>
    <x v="1"/>
    <n v="1"/>
    <s v="30-39"/>
  </r>
  <r>
    <s v="E00870"/>
    <s v="Her"/>
    <s v="Female"/>
    <n v="40"/>
    <s v="Field Eng"/>
    <x v="0"/>
    <s v="Products"/>
    <d v="2024-02-10T00:00:00"/>
    <m/>
    <n v="462000"/>
    <n v="0"/>
    <x v="1"/>
    <n v="2"/>
    <s v="40-49"/>
  </r>
  <r>
    <s v="E04167"/>
    <s v="Henderson"/>
    <s v="Female"/>
    <n v="45"/>
    <s v="Sr. Acc Rep"/>
    <x v="1"/>
    <s v="R&amp;D"/>
    <d v="2020-12-18T00:00:00"/>
    <m/>
    <n v="464000"/>
    <n v="0"/>
    <x v="1"/>
    <n v="5"/>
    <s v="40-49"/>
  </r>
  <r>
    <s v="E00245"/>
    <s v="Mejia"/>
    <s v="Male"/>
    <n v="31"/>
    <s v="Auto Eng"/>
    <x v="0"/>
    <s v="Products"/>
    <d v="2020-01-07T00:00:00"/>
    <m/>
    <n v="466000"/>
    <n v="0"/>
    <x v="1"/>
    <n v="6"/>
    <s v="30-39"/>
  </r>
  <r>
    <s v="E00976"/>
    <s v="Chin"/>
    <s v="Female"/>
    <n v="35"/>
    <s v="Auto Eng"/>
    <x v="0"/>
    <s v="R&amp;D"/>
    <d v="2023-10-07T00:00:00"/>
    <m/>
    <n v="468000"/>
    <n v="0.2"/>
    <x v="1"/>
    <n v="2"/>
    <s v="30-39"/>
  </r>
  <r>
    <s v="E04112"/>
    <s v="Lu"/>
    <s v="Male"/>
    <n v="31"/>
    <s v="Sr. Manger"/>
    <x v="2"/>
    <s v="R&amp;D"/>
    <d v="2021-10-18T00:00:00"/>
    <m/>
    <n v="470000"/>
    <n v="0"/>
    <x v="1"/>
    <n v="4"/>
    <s v="30-39"/>
  </r>
  <r>
    <s v="E01807"/>
    <s v="Choi"/>
    <s v="Female"/>
    <n v="35"/>
    <s v="Sr. Manger"/>
    <x v="3"/>
    <s v="Products"/>
    <d v="2022-08-18T00:00:00"/>
    <m/>
    <n v="472000"/>
    <n v="0"/>
    <x v="1"/>
    <n v="3"/>
    <s v="30-39"/>
  </r>
  <r>
    <s v="E04103"/>
    <s v="Kumar"/>
    <s v="Male"/>
    <n v="31"/>
    <s v="Sr. Manger"/>
    <x v="4"/>
    <s v="Corporate"/>
    <d v="2024-05-28T00:00:00"/>
    <m/>
    <n v="474000"/>
    <n v="0.33"/>
    <x v="1"/>
    <n v="1"/>
    <s v="30-39"/>
  </r>
  <r>
    <s v="E01412"/>
    <s v="Guzman"/>
    <s v="Male"/>
    <n v="31"/>
    <s v="Quality Eng"/>
    <x v="0"/>
    <s v="Manufacturing"/>
    <d v="2022-09-07T00:00:00"/>
    <m/>
    <n v="476000"/>
    <n v="0.14000000000000001"/>
    <x v="1"/>
    <n v="3"/>
    <s v="30-39"/>
  </r>
  <r>
    <s v="E04386"/>
    <s v="Vu"/>
    <s v="Male"/>
    <n v="27"/>
    <s v="Sr. Manger"/>
    <x v="3"/>
    <s v="Manufacturing"/>
    <d v="2022-01-03T00:00:00"/>
    <d v="2023-06-17T00:00:00"/>
    <n v="478000"/>
    <n v="0"/>
    <x v="0"/>
    <n v="1"/>
    <s v="20-29"/>
  </r>
  <r>
    <s v="E01232"/>
    <s v="Jenkins"/>
    <s v="Female"/>
    <n v="30"/>
    <s v="IT Coord"/>
    <x v="5"/>
    <s v="R&amp;D"/>
    <d v="2023-05-28T00:00:00"/>
    <m/>
    <n v="480000"/>
    <n v="0.38"/>
    <x v="1"/>
    <n v="2"/>
    <s v="30-39"/>
  </r>
  <r>
    <s v="E04572"/>
    <s v="Brown"/>
    <s v="Male"/>
    <n v="36"/>
    <s v="Quality Eng"/>
    <x v="0"/>
    <s v="Products"/>
    <d v="2023-11-15T00:00:00"/>
    <m/>
    <n v="482000"/>
    <n v="0.3"/>
    <x v="1"/>
    <n v="2"/>
    <s v="30-39"/>
  </r>
  <r>
    <s v="E02747"/>
    <s v="Huang"/>
    <s v="Female"/>
    <n v="45"/>
    <s v="Quality Eng"/>
    <x v="0"/>
    <s v="R&amp;D"/>
    <d v="2020-01-21T00:00:00"/>
    <m/>
    <n v="484000"/>
    <n v="0.31"/>
    <x v="1"/>
    <n v="6"/>
    <s v="40-49"/>
  </r>
  <r>
    <s v="E01064"/>
    <s v="Perry"/>
    <s v="Male"/>
    <n v="37"/>
    <s v="Ops Eng"/>
    <x v="0"/>
    <s v="Corporate"/>
    <d v="2023-10-07T00:00:00"/>
    <m/>
    <n v="486000"/>
    <n v="0.14000000000000001"/>
    <x v="1"/>
    <n v="2"/>
    <s v="30-39"/>
  </r>
  <r>
    <s v="E00178"/>
    <s v="Padilla"/>
    <s v="Male"/>
    <n v="38"/>
    <s v="IT Coord"/>
    <x v="5"/>
    <s v="Products"/>
    <d v="2024-04-19T00:00:00"/>
    <m/>
    <n v="488000"/>
    <n v="0"/>
    <x v="1"/>
    <n v="1"/>
    <s v="30-39"/>
  </r>
  <r>
    <s v="E01091"/>
    <s v="Pena"/>
    <s v="Female"/>
    <n v="45"/>
    <s v="Ops Eng"/>
    <x v="0"/>
    <s v="R&amp;D"/>
    <d v="2020-09-09T00:00:00"/>
    <m/>
    <n v="490000"/>
    <n v="0"/>
    <x v="1"/>
    <n v="5"/>
    <s v="40-49"/>
  </r>
  <r>
    <s v="E01525"/>
    <s v="Lam"/>
    <s v="Female"/>
    <n v="51"/>
    <s v="Ops Eng"/>
    <x v="0"/>
    <s v="Manufacturing"/>
    <d v="2023-11-03T00:00:00"/>
    <m/>
    <n v="492000"/>
    <n v="0.09"/>
    <x v="1"/>
    <n v="2"/>
    <s v="50-59"/>
  </r>
  <r>
    <s v="E01309"/>
    <s v="Foster"/>
    <s v="Female"/>
    <n v="56"/>
    <s v="IT Coord"/>
    <x v="5"/>
    <s v="Manufacturing"/>
    <d v="2024-04-30T00:00:00"/>
    <m/>
    <n v="494000"/>
    <n v="0.28999999999999998"/>
    <x v="1"/>
    <n v="1"/>
    <s v="50-59"/>
  </r>
  <r>
    <s v="E02378"/>
    <s v="Moore"/>
    <s v="Female"/>
    <n v="53"/>
    <s v="Auto Eng"/>
    <x v="0"/>
    <s v="Manufacturing"/>
    <d v="2020-02-26T00:00:00"/>
    <m/>
    <n v="496000"/>
    <n v="0"/>
    <x v="1"/>
    <n v="5"/>
    <s v="50-59"/>
  </r>
  <r>
    <s v="E04127"/>
    <s v="Washington"/>
    <s v="Female"/>
    <n v="47"/>
    <s v=" Dev Eng"/>
    <x v="0"/>
    <s v="Manufacturing"/>
    <d v="2022-09-11T00:00:00"/>
    <m/>
    <n v="498000"/>
    <n v="0.3"/>
    <x v="1"/>
    <n v="3"/>
    <s v="40-49"/>
  </r>
  <r>
    <s v="E02072"/>
    <s v="Holmes"/>
    <s v="Male"/>
    <n v="36"/>
    <s v="Sr. Analyst"/>
    <x v="2"/>
    <s v="Manufacturing"/>
    <d v="2024-05-18T00:00:00"/>
    <m/>
    <n v="500000"/>
    <n v="0"/>
    <x v="1"/>
    <n v="1"/>
    <s v="30-39"/>
  </r>
  <r>
    <s v="E02555"/>
    <s v="Rojas"/>
    <s v="Female"/>
    <n v="41"/>
    <s v="Quality Eng"/>
    <x v="0"/>
    <s v="Corporate"/>
    <d v="2021-11-09T00:00:00"/>
    <m/>
    <n v="502000"/>
    <n v="0"/>
    <x v="1"/>
    <n v="4"/>
    <s v="40-49"/>
  </r>
  <r>
    <s v="E00187"/>
    <s v="Coleman"/>
    <s v="Male"/>
    <n v="31"/>
    <s v="Ops Eng"/>
    <x v="0"/>
    <s v="Products"/>
    <d v="2020-05-12T00:00:00"/>
    <m/>
    <n v="504000"/>
    <n v="0.23"/>
    <x v="1"/>
    <n v="5"/>
    <s v="30-39"/>
  </r>
  <r>
    <s v="E04332"/>
    <s v="Clark"/>
    <s v="Male"/>
    <n v="31"/>
    <s v="Field Eng"/>
    <x v="0"/>
    <s v="Manufacturing"/>
    <d v="2022-09-11T00:00:00"/>
    <m/>
    <n v="506000"/>
    <n v="0"/>
    <x v="1"/>
    <n v="3"/>
    <s v="30-39"/>
  </r>
  <r>
    <s v="E02062"/>
    <s v="Butler"/>
    <s v="Female"/>
    <n v="38"/>
    <s v="Sr. Analyst"/>
    <x v="4"/>
    <s v="R&amp;D"/>
    <d v="2022-10-23T00:00:00"/>
    <m/>
    <n v="508000"/>
    <n v="0"/>
    <x v="1"/>
    <n v="3"/>
    <s v="30-39"/>
  </r>
  <r>
    <s v="E00034"/>
    <s v="Contreras"/>
    <s v="Male"/>
    <n v="31"/>
    <s v="Net Admin"/>
    <x v="5"/>
    <s v="Manufacturing"/>
    <d v="2024-08-23T00:00:00"/>
    <m/>
    <n v="510000"/>
    <n v="0.15"/>
    <x v="1"/>
    <n v="1"/>
    <s v="30-39"/>
  </r>
  <r>
    <s v="E00273"/>
    <s v="Yu"/>
    <s v="Male"/>
    <n v="39"/>
    <s v="Sr. Analyst"/>
    <x v="3"/>
    <s v="Products"/>
    <d v="2023-11-07T00:00:00"/>
    <m/>
    <n v="512000"/>
    <n v="0"/>
    <x v="1"/>
    <n v="2"/>
    <s v="30-39"/>
  </r>
  <r>
    <s v="E00691"/>
    <s v="Lewis"/>
    <s v="Male"/>
    <n v="31"/>
    <s v=" Dev Eng"/>
    <x v="0"/>
    <s v="R&amp;D"/>
    <d v="2023-10-07T00:00:00"/>
    <m/>
    <n v="514000"/>
    <n v="0"/>
    <x v="1"/>
    <n v="2"/>
    <s v="30-39"/>
  </r>
  <r>
    <s v="E01403"/>
    <s v="Do"/>
    <s v="Female"/>
    <n v="45"/>
    <s v="Net Admin"/>
    <x v="5"/>
    <s v="R&amp;D"/>
    <d v="2022-04-26T00:00:00"/>
    <m/>
    <n v="516000"/>
    <n v="0.31"/>
    <x v="1"/>
    <n v="3"/>
    <s v="40-49"/>
  </r>
  <r>
    <s v="E03438"/>
    <s v="Chow"/>
    <s v="Female"/>
    <n v="50"/>
    <s v="Field Eng"/>
    <x v="0"/>
    <s v="Corporate"/>
    <d v="2020-02-28T00:00:00"/>
    <m/>
    <n v="518000"/>
    <n v="0"/>
    <x v="1"/>
    <n v="5"/>
    <s v="50-59"/>
  </r>
  <r>
    <s v="E04136"/>
    <s v="Ayala"/>
    <s v="Male"/>
    <n v="36"/>
    <s v="Auto Eng"/>
    <x v="0"/>
    <s v="Corporate"/>
    <d v="2020-10-12T00:00:00"/>
    <m/>
    <n v="520000"/>
    <n v="0"/>
    <x v="1"/>
    <n v="5"/>
    <s v="30-39"/>
  </r>
  <r>
    <s v="E02944"/>
    <s v="Salazar"/>
    <s v="Female"/>
    <n v="45"/>
    <s v=" Dev Eng"/>
    <x v="0"/>
    <s v="Products"/>
    <d v="2022-01-27T00:00:00"/>
    <m/>
    <n v="522000"/>
    <n v="0.39"/>
    <x v="1"/>
    <n v="4"/>
    <s v="40-49"/>
  </r>
  <r>
    <s v="E03300"/>
    <s v="Carrillo"/>
    <s v="Female"/>
    <n v="29"/>
    <s v="Sr. Acc Rep"/>
    <x v="1"/>
    <s v="Corporate"/>
    <d v="2024-02-15T00:00:00"/>
    <m/>
    <n v="524000"/>
    <n v="0"/>
    <x v="1"/>
    <n v="1"/>
    <s v="20-29"/>
  </r>
  <r>
    <s v="E00078"/>
    <s v="Richardson"/>
    <s v="Female"/>
    <n v="41"/>
    <s v="Field Eng"/>
    <x v="0"/>
    <s v="Products"/>
    <d v="2024-02-10T00:00:00"/>
    <m/>
    <n v="526000"/>
    <n v="0"/>
    <x v="1"/>
    <n v="2"/>
    <s v="40-49"/>
  </r>
  <r>
    <s v="E00825"/>
    <s v="Guerrero"/>
    <s v="Female"/>
    <n v="47"/>
    <s v="Sr. Acc Rep"/>
    <x v="1"/>
    <s v="R&amp;D"/>
    <d v="2020-12-18T00:00:00"/>
    <m/>
    <n v="528000"/>
    <n v="0"/>
    <x v="1"/>
    <n v="5"/>
    <s v="40-49"/>
  </r>
  <r>
    <s v="E04972"/>
    <s v="Mehta"/>
    <s v="Male"/>
    <n v="38"/>
    <s v="Auto Eng"/>
    <x v="0"/>
    <s v="Products"/>
    <d v="2020-01-07T00:00:00"/>
    <m/>
    <n v="530000"/>
    <n v="0.15"/>
    <x v="1"/>
    <n v="6"/>
    <s v="30-39"/>
  </r>
  <r>
    <s v="E03941"/>
    <s v="Espinoza"/>
    <s v="Female"/>
    <n v="40"/>
    <s v="Auto Eng"/>
    <x v="0"/>
    <s v="R&amp;D"/>
    <d v="2023-10-07T00:00:00"/>
    <m/>
    <n v="532000"/>
    <n v="0"/>
    <x v="1"/>
    <n v="2"/>
    <s v="40-49"/>
  </r>
  <r>
    <s v="E02148"/>
    <s v="Chu"/>
    <s v="Female"/>
    <n v="45"/>
    <s v="Sr. Manger"/>
    <x v="2"/>
    <s v="R&amp;D"/>
    <d v="2021-10-18T00:00:00"/>
    <m/>
    <n v="534000"/>
    <n v="0.15"/>
    <x v="1"/>
    <n v="4"/>
    <s v="40-49"/>
  </r>
  <r>
    <s v="E02252"/>
    <s v="Hong"/>
    <s v="Female"/>
    <n v="26"/>
    <s v="Sr. Manger"/>
    <x v="3"/>
    <s v="Products"/>
    <d v="2022-08-18T00:00:00"/>
    <d v="2024-10-11T00:00:00"/>
    <n v="536000"/>
    <n v="0"/>
    <x v="0"/>
    <n v="2"/>
    <s v="20-29"/>
  </r>
  <r>
    <s v="E03096"/>
    <s v="Moua"/>
    <s v="Male"/>
    <n v="35"/>
    <s v="Sr. Manger"/>
    <x v="4"/>
    <s v="Corporate"/>
    <d v="2024-05-28T00:00:00"/>
    <m/>
    <n v="538000"/>
    <n v="0.17"/>
    <x v="1"/>
    <n v="1"/>
    <s v="30-39"/>
  </r>
  <r>
    <s v="E04800"/>
    <s v="Morales"/>
    <s v="Male"/>
    <n v="31"/>
    <s v="Quality Eng"/>
    <x v="0"/>
    <s v="Manufacturing"/>
    <d v="2022-09-07T00:00:00"/>
    <m/>
    <n v="540000"/>
    <n v="0"/>
    <x v="1"/>
    <n v="3"/>
    <s v="30-39"/>
  </r>
  <r>
    <s v="E02838"/>
    <s v="Soto"/>
    <s v="Male"/>
    <n v="35"/>
    <s v="Sr. Manger"/>
    <x v="3"/>
    <s v="Manufacturing"/>
    <d v="2024-01-03T00:00:00"/>
    <m/>
    <n v="542000"/>
    <n v="0.14000000000000001"/>
    <x v="1"/>
    <n v="2"/>
    <s v="30-39"/>
  </r>
  <r>
    <s v="E02980"/>
    <s v="Ross"/>
    <s v="Female"/>
    <n v="27"/>
    <s v="IT Coord"/>
    <x v="5"/>
    <s v="R&amp;D"/>
    <d v="2023-05-28T00:00:00"/>
    <m/>
    <n v="544000"/>
    <n v="0.23"/>
    <x v="1"/>
    <n v="2"/>
    <s v="20-29"/>
  </r>
  <r>
    <s v="E04477"/>
    <s v="Fernandez"/>
    <s v="Male"/>
    <n v="31"/>
    <s v="Quality Eng"/>
    <x v="0"/>
    <s v="Products"/>
    <d v="2023-11-15T00:00:00"/>
    <m/>
    <n v="546000"/>
    <n v="0"/>
    <x v="1"/>
    <n v="2"/>
    <s v="30-39"/>
  </r>
  <r>
    <s v="E04348"/>
    <s v="Hall"/>
    <s v="Female"/>
    <n v="27"/>
    <s v="Quality Eng"/>
    <x v="0"/>
    <s v="R&amp;D"/>
    <d v="2020-01-21T00:00:00"/>
    <m/>
    <n v="548000"/>
    <n v="7.0000000000000007E-2"/>
    <x v="1"/>
    <n v="6"/>
    <s v="20-29"/>
  </r>
  <r>
    <s v="E01638"/>
    <s v="Mai"/>
    <s v="Female"/>
    <n v="30"/>
    <s v="Ops Eng"/>
    <x v="0"/>
    <s v="Corporate"/>
    <d v="2023-10-07T00:00:00"/>
    <d v="2024-08-10T00:00:00"/>
    <n v="550000"/>
    <n v="0"/>
    <x v="0"/>
    <n v="0"/>
    <s v="30-39"/>
  </r>
  <r>
    <s v="E03419"/>
    <s v="Cheng"/>
    <s v="Male"/>
    <n v="36"/>
    <s v="IT Coord"/>
    <x v="5"/>
    <s v="Products"/>
    <d v="2024-04-19T00:00:00"/>
    <m/>
    <n v="552000"/>
    <n v="0"/>
    <x v="1"/>
    <n v="1"/>
    <s v="30-39"/>
  </r>
  <r>
    <s v="E04222"/>
    <s v="Navarro"/>
    <s v="Female"/>
    <n v="45"/>
    <s v="Ops Eng"/>
    <x v="0"/>
    <s v="R&amp;D"/>
    <d v="2020-09-09T00:00:00"/>
    <m/>
    <n v="554000"/>
    <n v="0"/>
    <x v="1"/>
    <n v="5"/>
    <s v="40-49"/>
  </r>
  <r>
    <s v="E04126"/>
    <s v="Hernandez"/>
    <s v="Male"/>
    <n v="37"/>
    <s v="Ops Eng"/>
    <x v="0"/>
    <s v="Manufacturing"/>
    <d v="2023-11-03T00:00:00"/>
    <m/>
    <n v="556000"/>
    <n v="0"/>
    <x v="1"/>
    <n v="2"/>
    <s v="30-39"/>
  </r>
  <r>
    <s v="E01896"/>
    <s v="Huynh"/>
    <s v="Male"/>
    <n v="38"/>
    <s v="IT Coord"/>
    <x v="5"/>
    <s v="Manufacturing"/>
    <d v="2020-04-30T00:00:00"/>
    <d v="2023-07-27T00:00:00"/>
    <n v="558000"/>
    <n v="0.27"/>
    <x v="0"/>
    <n v="3"/>
    <s v="30-39"/>
  </r>
  <r>
    <s v="E03018"/>
    <s v="Zheng"/>
    <s v="Female"/>
    <n v="45"/>
    <s v="Auto Eng"/>
    <x v="0"/>
    <s v="Manufacturing"/>
    <d v="2020-02-26T00:00:00"/>
    <m/>
    <n v="560000"/>
    <n v="0"/>
    <x v="1"/>
    <n v="5"/>
    <s v="40-49"/>
  </r>
  <r>
    <s v="E03325"/>
    <s v="Chau"/>
    <s v="Female"/>
    <n v="51"/>
    <s v=" Dev Eng"/>
    <x v="0"/>
    <s v="Manufacturing"/>
    <d v="2022-09-11T00:00:00"/>
    <m/>
    <n v="562000"/>
    <n v="0"/>
    <x v="1"/>
    <n v="3"/>
    <s v="50-59"/>
  </r>
  <r>
    <s v="E04037"/>
    <s v="Romero"/>
    <s v="Female"/>
    <n v="56"/>
    <s v="Sr. Analyst"/>
    <x v="2"/>
    <s v="Manufacturing"/>
    <d v="2024-05-18T00:00:00"/>
    <m/>
    <n v="564000"/>
    <n v="0.15"/>
    <x v="1"/>
    <n v="1"/>
    <s v="50-59"/>
  </r>
  <r>
    <s v="E01902"/>
    <s v="Bui"/>
    <s v="Female"/>
    <n v="53"/>
    <s v="Quality Eng"/>
    <x v="0"/>
    <s v="Corporate"/>
    <d v="2021-11-09T00:00:00"/>
    <m/>
    <n v="566000"/>
    <n v="0.15"/>
    <x v="1"/>
    <n v="4"/>
    <s v="50-59"/>
  </r>
  <r>
    <s v="E01466"/>
    <s v="Adams"/>
    <s v="Male"/>
    <n v="47"/>
    <s v="Ops Eng"/>
    <x v="0"/>
    <s v="Products"/>
    <d v="2020-05-12T00:00:00"/>
    <m/>
    <n v="568000"/>
    <n v="0"/>
    <x v="1"/>
    <n v="5"/>
    <s v="40-49"/>
  </r>
  <r>
    <s v="E02038"/>
    <s v="Shin"/>
    <s v="Male"/>
    <n v="36"/>
    <s v="Field Eng"/>
    <x v="0"/>
    <s v="Manufacturing"/>
    <d v="2022-09-11T00:00:00"/>
    <m/>
    <n v="570000"/>
    <n v="0.1"/>
    <x v="1"/>
    <n v="3"/>
    <s v="30-39"/>
  </r>
  <r>
    <s v="E03474"/>
    <s v="King"/>
    <s v="Female"/>
    <n v="41"/>
    <s v="Sr. Analyst"/>
    <x v="4"/>
    <s v="R&amp;D"/>
    <d v="2022-10-23T00:00:00"/>
    <m/>
    <n v="572000"/>
    <n v="0"/>
    <x v="1"/>
    <n v="3"/>
    <s v="40-49"/>
  </r>
  <r>
    <s v="E02744"/>
    <s v="Simmons"/>
    <s v="Female"/>
    <n v="30"/>
    <s v="Net Admin"/>
    <x v="5"/>
    <s v="Manufacturing"/>
    <d v="2024-08-23T00:00:00"/>
    <m/>
    <n v="574000"/>
    <n v="0"/>
    <x v="1"/>
    <n v="1"/>
    <s v="30-39"/>
  </r>
  <r>
    <s v="E00702"/>
    <s v="Desai"/>
    <s v="Male"/>
    <n v="31"/>
    <s v="Sr. Analyst"/>
    <x v="3"/>
    <s v="Products"/>
    <d v="2023-11-07T00:00:00"/>
    <m/>
    <n v="576000"/>
    <n v="0.14000000000000001"/>
    <x v="1"/>
    <n v="2"/>
    <s v="30-39"/>
  </r>
  <r>
    <s v="E03081"/>
    <s v="Liu"/>
    <s v="Male"/>
    <n v="38"/>
    <s v=" Dev Eng"/>
    <x v="0"/>
    <s v="R&amp;D"/>
    <d v="2023-10-07T00:00:00"/>
    <m/>
    <n v="578000"/>
    <n v="0.15"/>
    <x v="1"/>
    <n v="2"/>
    <s v="30-39"/>
  </r>
  <r>
    <s v="E01281"/>
    <s v="Marquez"/>
    <s v="Male"/>
    <n v="31"/>
    <s v="Net Admin"/>
    <x v="5"/>
    <s v="R&amp;D"/>
    <d v="2022-04-26T00:00:00"/>
    <m/>
    <n v="580000"/>
    <n v="0"/>
    <x v="1"/>
    <n v="3"/>
    <s v="30-39"/>
  </r>
  <r>
    <s v="E04029"/>
    <s v="Rodriguez"/>
    <s v="Female"/>
    <n v="39"/>
    <s v="Field Eng"/>
    <x v="0"/>
    <s v="Corporate"/>
    <d v="2020-02-28T00:00:00"/>
    <m/>
    <n v="582000"/>
    <n v="0.06"/>
    <x v="1"/>
    <n v="5"/>
    <s v="30-39"/>
  </r>
  <r>
    <s v="E01116"/>
    <s v="Jung"/>
    <s v="Male"/>
    <n v="31"/>
    <s v="Auto Eng"/>
    <x v="0"/>
    <s v="Corporate"/>
    <d v="2020-10-12T00:00:00"/>
    <m/>
    <n v="584000"/>
    <n v="0.1"/>
    <x v="1"/>
    <n v="5"/>
    <s v="30-39"/>
  </r>
  <r>
    <s v="E01753"/>
    <s v="Vang"/>
    <s v="Female"/>
    <n v="45"/>
    <s v=" Dev Eng"/>
    <x v="0"/>
    <s v="Products"/>
    <d v="2022-01-27T00:00:00"/>
    <m/>
    <n v="586000"/>
    <n v="0.05"/>
    <x v="1"/>
    <n v="4"/>
    <s v="40-49"/>
  </r>
  <r>
    <s v="E04072"/>
    <s v="Diaz"/>
    <s v="Female"/>
    <n v="50"/>
    <s v="Sr. Acc Rep"/>
    <x v="1"/>
    <s v="Corporate"/>
    <d v="2024-02-15T00:00:00"/>
    <m/>
    <n v="588000"/>
    <n v="0.36"/>
    <x v="1"/>
    <n v="1"/>
    <s v="50-59"/>
  </r>
  <r>
    <s v="E00672"/>
    <s v="Leung"/>
    <s v="Female"/>
    <n v="36"/>
    <s v="Field Eng"/>
    <x v="0"/>
    <s v="Products"/>
    <d v="2024-02-10T00:00:00"/>
    <m/>
    <n v="590000"/>
    <n v="0.33"/>
    <x v="1"/>
    <n v="2"/>
    <s v="30-39"/>
  </r>
  <r>
    <s v="E04419"/>
    <s v="Nelson"/>
    <s v="Female"/>
    <n v="45"/>
    <s v="Sr. Acc Rep"/>
    <x v="1"/>
    <s v="R&amp;D"/>
    <d v="2020-12-18T00:00:00"/>
    <m/>
    <n v="592000"/>
    <n v="0.11"/>
    <x v="1"/>
    <n v="5"/>
    <s v="40-49"/>
  </r>
  <r>
    <s v="E00467"/>
    <s v="Lai"/>
    <s v="Female"/>
    <n v="29"/>
    <s v="Auto Eng"/>
    <x v="0"/>
    <s v="Products"/>
    <d v="2020-01-07T00:00:00"/>
    <d v="2023-10-07T00:00:00"/>
    <n v="594000"/>
    <n v="0"/>
    <x v="0"/>
    <n v="3"/>
    <s v="20-29"/>
  </r>
  <r>
    <s v="E00365"/>
    <s v="Reed"/>
    <s v="Female"/>
    <n v="41"/>
    <s v="Auto Eng"/>
    <x v="0"/>
    <s v="R&amp;D"/>
    <d v="2023-10-07T00:00:00"/>
    <m/>
    <n v="596000"/>
    <n v="0.06"/>
    <x v="1"/>
    <n v="2"/>
    <s v="40-49"/>
  </r>
  <r>
    <s v="E00306"/>
    <s v="Williams"/>
    <s v="Female"/>
    <n v="47"/>
    <s v="Sr. Manger"/>
    <x v="2"/>
    <s v="R&amp;D"/>
    <d v="2021-10-18T00:00:00"/>
    <m/>
    <n v="598000"/>
    <n v="0"/>
    <x v="1"/>
    <n v="4"/>
    <s v="40-49"/>
  </r>
  <r>
    <s v="E03292"/>
    <s v="Rahman"/>
    <s v="Male"/>
    <n v="38"/>
    <s v="Sr. Manger"/>
    <x v="3"/>
    <s v="Products"/>
    <d v="2022-08-18T00:00:00"/>
    <m/>
    <n v="600000"/>
    <n v="0.06"/>
    <x v="1"/>
    <n v="3"/>
    <s v="30-39"/>
  </r>
  <r>
    <s v="E04779"/>
    <s v="Mendez"/>
    <s v="Female"/>
    <n v="40"/>
    <s v="Sr. Manger"/>
    <x v="4"/>
    <s v="Corporate"/>
    <d v="2024-05-28T00:00:00"/>
    <m/>
    <n v="602000"/>
    <n v="0.39"/>
    <x v="1"/>
    <n v="1"/>
    <s v="40-49"/>
  </r>
  <r>
    <s v="E00501"/>
    <s v="Fong"/>
    <s v="Female"/>
    <n v="45"/>
    <s v="Quality Eng"/>
    <x v="0"/>
    <s v="Manufacturing"/>
    <d v="2022-09-07T00:00:00"/>
    <m/>
    <n v="604000"/>
    <n v="0"/>
    <x v="1"/>
    <n v="3"/>
    <s v="40-49"/>
  </r>
  <r>
    <s v="E01132"/>
    <s v="Kang"/>
    <s v="Male"/>
    <n v="31"/>
    <s v="Sr. Manger"/>
    <x v="3"/>
    <s v="Manufacturing"/>
    <d v="2024-01-03T00:00:00"/>
    <m/>
    <n v="606000"/>
    <n v="0"/>
    <x v="1"/>
    <n v="2"/>
    <s v="30-39"/>
  </r>
  <r>
    <s v="E00556"/>
    <s v="Chavez"/>
    <s v="Male"/>
    <n v="35"/>
    <s v="IT Coord"/>
    <x v="5"/>
    <s v="R&amp;D"/>
    <d v="2023-05-28T00:00:00"/>
    <d v="2024-04-19T00:00:00"/>
    <n v="608000"/>
    <n v="0.28999999999999998"/>
    <x v="0"/>
    <n v="0"/>
    <s v="30-39"/>
  </r>
  <r>
    <s v="E00311"/>
    <s v="Thao"/>
    <s v="Female"/>
    <n v="29"/>
    <s v="Quality Eng"/>
    <x v="0"/>
    <s v="Products"/>
    <d v="2023-11-15T00:00:00"/>
    <m/>
    <n v="610000"/>
    <n v="0"/>
    <x v="1"/>
    <n v="2"/>
    <s v="20-29"/>
  </r>
  <r>
    <s v="E04567"/>
    <s v="Bryant"/>
    <s v="Male"/>
    <n v="35"/>
    <s v="Quality Eng"/>
    <x v="0"/>
    <s v="R&amp;D"/>
    <d v="2020-01-21T00:00:00"/>
    <m/>
    <n v="612000"/>
    <n v="0"/>
    <x v="1"/>
    <n v="6"/>
    <s v="30-39"/>
  </r>
  <r>
    <s v="E04378"/>
    <s v="Zhang"/>
    <s v="Female"/>
    <n v="27"/>
    <s v="Ops Eng"/>
    <x v="0"/>
    <s v="Corporate"/>
    <d v="2023-10-07T00:00:00"/>
    <m/>
    <n v="614000"/>
    <n v="0"/>
    <x v="1"/>
    <n v="2"/>
    <s v="20-29"/>
  </r>
  <r>
    <s v="E03251"/>
    <s v="Ruiz"/>
    <s v="Female"/>
    <n v="26"/>
    <s v="IT Coord"/>
    <x v="5"/>
    <s v="Products"/>
    <d v="2024-04-19T00:00:00"/>
    <m/>
    <n v="616000"/>
    <n v="0.2"/>
    <x v="1"/>
    <n v="1"/>
    <s v="20-29"/>
  </r>
  <r>
    <s v="E03167"/>
    <s v="Hsu"/>
    <s v="Male"/>
    <n v="31"/>
    <s v="Ops Eng"/>
    <x v="0"/>
    <s v="R&amp;D"/>
    <d v="2020-09-09T00:00:00"/>
    <m/>
    <n v="618000"/>
    <n v="0.28999999999999998"/>
    <x v="1"/>
    <n v="5"/>
    <s v="30-39"/>
  </r>
  <r>
    <s v="E03347"/>
    <s v="Watson"/>
    <s v="Male"/>
    <n v="31"/>
    <s v="Ops Eng"/>
    <x v="0"/>
    <s v="Manufacturing"/>
    <d v="2023-11-03T00:00:00"/>
    <m/>
    <n v="620000"/>
    <n v="0"/>
    <x v="1"/>
    <n v="2"/>
    <s v="30-39"/>
  </r>
  <r>
    <s v="E03908"/>
    <s v="Park"/>
    <s v="Male"/>
    <n v="36"/>
    <s v="IT Coord"/>
    <x v="5"/>
    <s v="Manufacturing"/>
    <d v="2024-04-30T00:00:00"/>
    <m/>
    <n v="622000"/>
    <n v="0"/>
    <x v="1"/>
    <n v="1"/>
    <s v="30-39"/>
  </r>
  <r>
    <s v="E01351"/>
    <s v="Doan"/>
    <s v="Male"/>
    <n v="45"/>
    <s v="Auto Eng"/>
    <x v="0"/>
    <s v="Manufacturing"/>
    <d v="2020-02-26T00:00:00"/>
    <m/>
    <n v="624000"/>
    <n v="0"/>
    <x v="1"/>
    <n v="5"/>
    <s v="40-49"/>
  </r>
  <r>
    <s v="E02681"/>
    <s v="Sandoval"/>
    <s v="Male"/>
    <n v="37"/>
    <s v=" Dev Eng"/>
    <x v="0"/>
    <s v="Manufacturing"/>
    <d v="2022-09-11T00:00:00"/>
    <m/>
    <n v="626000"/>
    <n v="0.22"/>
    <x v="1"/>
    <n v="3"/>
    <s v="30-39"/>
  </r>
  <r>
    <s v="E03807"/>
    <s v="Ly"/>
    <s v="Female"/>
    <n v="38"/>
    <s v="Sr. Analyst"/>
    <x v="2"/>
    <s v="Manufacturing"/>
    <d v="2024-05-18T00:00:00"/>
    <m/>
    <n v="628000"/>
    <n v="7.0000000000000007E-2"/>
    <x v="1"/>
    <n v="1"/>
    <s v="30-39"/>
  </r>
  <r>
    <s v="E00422"/>
    <s v="Figueroa"/>
    <s v="Male"/>
    <n v="45"/>
    <s v="Quality Eng"/>
    <x v="0"/>
    <s v="Corporate"/>
    <d v="2021-11-09T00:00:00"/>
    <m/>
    <n v="630000"/>
    <n v="0"/>
    <x v="1"/>
    <n v="4"/>
    <s v="40-49"/>
  </r>
  <r>
    <s v="E00265"/>
    <s v="Wong"/>
    <s v="Female"/>
    <n v="51"/>
    <s v="Ops Eng"/>
    <x v="0"/>
    <s v="Products"/>
    <d v="2020-05-12T00:00:00"/>
    <m/>
    <n v="632000"/>
    <n v="0"/>
    <x v="1"/>
    <n v="5"/>
    <s v="50-59"/>
  </r>
  <r>
    <s v="E04601"/>
    <s v="Zhao"/>
    <s v="Female"/>
    <n v="56"/>
    <s v="Field Eng"/>
    <x v="0"/>
    <s v="Manufacturing"/>
    <d v="2022-09-11T00:00:00"/>
    <m/>
    <n v="634000"/>
    <n v="0"/>
    <x v="1"/>
    <n v="3"/>
    <s v="50-59"/>
  </r>
  <r>
    <s v="E04816"/>
    <s v="Garza"/>
    <s v="Female"/>
    <n v="53"/>
    <s v="Sr. Analyst"/>
    <x v="4"/>
    <s v="R&amp;D"/>
    <d v="2022-10-23T00:00:00"/>
    <m/>
    <n v="636000"/>
    <n v="0"/>
    <x v="1"/>
    <n v="3"/>
    <s v="50-59"/>
  </r>
  <r>
    <s v="E02147"/>
    <s v="Griffin"/>
    <s v="Female"/>
    <n v="47"/>
    <s v="Net Admin"/>
    <x v="5"/>
    <s v="Manufacturing"/>
    <d v="2024-08-23T00:00:00"/>
    <m/>
    <n v="638000"/>
    <n v="0.05"/>
    <x v="1"/>
    <n v="1"/>
    <s v="40-49"/>
  </r>
  <r>
    <s v="E02914"/>
    <s v="Hill"/>
    <s v="Male"/>
    <n v="36"/>
    <s v="Sr. Analyst"/>
    <x v="3"/>
    <s v="Products"/>
    <d v="2023-11-07T00:00:00"/>
    <m/>
    <n v="640000"/>
    <n v="0.34"/>
    <x v="1"/>
    <n v="2"/>
    <s v="30-39"/>
  </r>
  <r>
    <s v="E03268"/>
    <s v="Yee"/>
    <s v="Male"/>
    <n v="41"/>
    <s v=" Dev Eng"/>
    <x v="0"/>
    <s v="R&amp;D"/>
    <d v="2023-10-07T00:00:00"/>
    <m/>
    <n v="642000"/>
    <n v="0.35"/>
    <x v="1"/>
    <n v="2"/>
    <s v="40-49"/>
  </r>
  <r>
    <s v="E03972"/>
    <s v="Cho"/>
    <s v="Male"/>
    <n v="30"/>
    <s v="Net Admin"/>
    <x v="5"/>
    <s v="R&amp;D"/>
    <d v="2022-04-26T00:00:00"/>
    <d v="2024-04-30T00:00:00"/>
    <n v="644000"/>
    <n v="0"/>
    <x v="0"/>
    <n v="2"/>
    <s v="30-39"/>
  </r>
  <r>
    <s v="E02189"/>
    <s v="Wright"/>
    <s v="Male"/>
    <n v="31"/>
    <s v="Field Eng"/>
    <x v="0"/>
    <s v="Corporate"/>
    <d v="2020-02-28T00:00:00"/>
    <m/>
    <n v="646000"/>
    <n v="0"/>
    <x v="1"/>
    <n v="5"/>
    <s v="30-39"/>
  </r>
  <r>
    <s v="E04290"/>
    <s v="Reyes"/>
    <s v="Female"/>
    <n v="38"/>
    <s v="Auto Eng"/>
    <x v="0"/>
    <s v="Corporate"/>
    <d v="2020-10-12T00:00:00"/>
    <m/>
    <n v="648000"/>
    <n v="0"/>
    <x v="1"/>
    <n v="5"/>
    <s v="30-39"/>
  </r>
  <r>
    <s v="E03630"/>
    <s v="White"/>
    <s v="Male"/>
    <n v="31"/>
    <s v=" Dev Eng"/>
    <x v="0"/>
    <s v="Products"/>
    <d v="2022-01-27T00:00:00"/>
    <m/>
    <n v="650000"/>
    <n v="0.28000000000000003"/>
    <x v="1"/>
    <n v="4"/>
    <s v="30-39"/>
  </r>
  <r>
    <s v="E00432"/>
    <s v="Truong"/>
    <s v="Female"/>
    <n v="39"/>
    <s v="Sr. Acc Rep"/>
    <x v="1"/>
    <s v="Corporate"/>
    <d v="2024-02-15T00:00:00"/>
    <m/>
    <n v="652000"/>
    <n v="0.19"/>
    <x v="1"/>
    <n v="1"/>
    <s v="30-39"/>
  </r>
  <r>
    <s v="E03045"/>
    <s v="Duong"/>
    <s v="Female"/>
    <n v="31"/>
    <s v="Field Eng"/>
    <x v="0"/>
    <s v="Products"/>
    <d v="2020-01-21T00:00:00"/>
    <d v="2024-05-28T00:00:00"/>
    <n v="654000"/>
    <n v="0"/>
    <x v="0"/>
    <n v="4"/>
    <s v="30-39"/>
  </r>
  <r>
    <s v="E01924"/>
    <s v="Herrera"/>
    <s v="Female"/>
    <n v="45"/>
    <s v="Sr. Acc Rep"/>
    <x v="1"/>
    <s v="R&amp;D"/>
    <d v="2020-12-18T00:00:00"/>
    <m/>
    <n v="656000"/>
    <n v="0.28999999999999998"/>
    <x v="1"/>
    <n v="5"/>
    <s v="40-49"/>
  </r>
  <r>
    <s v="E04877"/>
    <s v="Gray"/>
    <s v="Female"/>
    <n v="50"/>
    <s v="Auto Eng"/>
    <x v="0"/>
    <s v="Products"/>
    <d v="2020-01-07T00:00:00"/>
    <m/>
    <n v="658000"/>
    <n v="0"/>
    <x v="1"/>
    <n v="6"/>
    <s v="50-59"/>
  </r>
  <r>
    <s v="E02770"/>
    <s v="Sharma"/>
    <s v="Male"/>
    <n v="36"/>
    <s v="Auto Eng"/>
    <x v="0"/>
    <s v="R&amp;D"/>
    <d v="2023-10-07T00:00:00"/>
    <m/>
    <n v="660000"/>
    <n v="0"/>
    <x v="1"/>
    <n v="2"/>
    <s v="30-39"/>
  </r>
  <r>
    <s v="E04590"/>
    <s v="Molina"/>
    <s v="Female"/>
    <n v="45"/>
    <s v="Sr. Manger"/>
    <x v="2"/>
    <s v="R&amp;D"/>
    <d v="2021-10-18T00:00:00"/>
    <m/>
    <n v="662000"/>
    <n v="0"/>
    <x v="1"/>
    <n v="4"/>
    <s v="40-49"/>
  </r>
  <r>
    <s v="E01977"/>
    <s v="Ortiz"/>
    <s v="Male"/>
    <n v="31"/>
    <s v="Sr. Manger"/>
    <x v="3"/>
    <s v="Products"/>
    <d v="2022-08-18T00:00:00"/>
    <m/>
    <n v="664000"/>
    <n v="0.11"/>
    <x v="1"/>
    <n v="3"/>
    <s v="30-39"/>
  </r>
  <r>
    <s v="E01378"/>
    <s v="Aguilar"/>
    <s v="Female"/>
    <n v="41"/>
    <s v="Sr. Manger"/>
    <x v="4"/>
    <s v="Corporate"/>
    <d v="2024-05-28T00:00:00"/>
    <m/>
    <n v="666000"/>
    <n v="0"/>
    <x v="1"/>
    <n v="1"/>
    <s v="40-49"/>
  </r>
  <r>
    <s v="E04224"/>
    <s v="Bell"/>
    <s v="Male"/>
    <n v="47"/>
    <s v="Quality Eng"/>
    <x v="0"/>
    <s v="Manufacturing"/>
    <d v="2022-09-07T00:00:00"/>
    <m/>
    <n v="668000"/>
    <n v="0"/>
    <x v="1"/>
    <n v="3"/>
    <s v="40-49"/>
  </r>
  <r>
    <s v="E03423"/>
    <s v="Zhu"/>
    <s v="Male"/>
    <n v="38"/>
    <s v="Sr. Manger"/>
    <x v="3"/>
    <s v="Manufacturing"/>
    <d v="2024-01-03T00:00:00"/>
    <m/>
    <n v="670000"/>
    <n v="7.0000000000000007E-2"/>
    <x v="1"/>
    <n v="2"/>
    <s v="30-39"/>
  </r>
  <r>
    <s v="E01584"/>
    <s v="Grant"/>
    <s v="Male"/>
    <n v="40"/>
    <s v="IT Coord"/>
    <x v="5"/>
    <s v="R&amp;D"/>
    <d v="2023-05-28T00:00:00"/>
    <m/>
    <n v="672000"/>
    <n v="0.36"/>
    <x v="1"/>
    <n v="2"/>
    <s v="40-49"/>
  </r>
  <r>
    <s v="E00788"/>
    <s v="Han"/>
    <s v="Female"/>
    <n v="45"/>
    <s v="Quality Eng"/>
    <x v="0"/>
    <s v="Products"/>
    <d v="2023-11-15T00:00:00"/>
    <m/>
    <n v="674000"/>
    <n v="0"/>
    <x v="1"/>
    <n v="2"/>
    <s v="40-49"/>
  </r>
  <r>
    <s v="E00207"/>
    <s v="Vega"/>
    <s v="Female"/>
    <n v="26"/>
    <s v="Quality Eng"/>
    <x v="0"/>
    <s v="R&amp;D"/>
    <d v="2020-01-21T00:00:00"/>
    <m/>
    <n v="676000"/>
    <n v="0.32"/>
    <x v="1"/>
    <n v="6"/>
    <s v="20-29"/>
  </r>
  <r>
    <s v="E00834"/>
    <s v="Johnson"/>
    <s v="Female"/>
    <n v="35"/>
    <s v="Ops Eng"/>
    <x v="0"/>
    <s v="Corporate"/>
    <d v="2023-10-07T00:00:00"/>
    <m/>
    <n v="678000"/>
    <n v="0"/>
    <x v="1"/>
    <n v="2"/>
    <s v="30-39"/>
  </r>
  <r>
    <s v="E04571"/>
    <s v="Maldonado"/>
    <s v="Female"/>
    <n v="29"/>
    <s v="IT Coord"/>
    <x v="5"/>
    <s v="Products"/>
    <d v="2024-04-19T00:00:00"/>
    <m/>
    <n v="680000"/>
    <n v="0.2"/>
    <x v="1"/>
    <n v="1"/>
    <s v="20-29"/>
  </r>
  <r>
    <s v="E02652"/>
    <s v="Jiang"/>
    <s v="Male"/>
    <n v="35"/>
    <s v="Ops Eng"/>
    <x v="0"/>
    <s v="R&amp;D"/>
    <d v="2020-09-09T00:00:00"/>
    <m/>
    <n v="682000"/>
    <n v="0.05"/>
    <x v="1"/>
    <n v="5"/>
    <s v="30-39"/>
  </r>
  <r>
    <s v="E02693"/>
    <s v="Mitchell"/>
    <s v="Female"/>
    <n v="27"/>
    <s v="Ops Eng"/>
    <x v="0"/>
    <s v="Manufacturing"/>
    <d v="2023-11-03T00:00:00"/>
    <m/>
    <n v="684000"/>
    <n v="0.22"/>
    <x v="1"/>
    <n v="2"/>
    <s v="20-29"/>
  </r>
  <r>
    <s v="E03359"/>
    <s v="Torres"/>
    <s v="Female"/>
    <n v="26"/>
    <s v="IT Coord"/>
    <x v="5"/>
    <s v="Manufacturing"/>
    <d v="2024-04-30T00:00:00"/>
    <m/>
    <n v="686000"/>
    <n v="0"/>
    <x v="1"/>
    <n v="1"/>
    <s v="20-29"/>
  </r>
  <r>
    <s v="E00399"/>
    <s v="Edwards"/>
    <s v="Female"/>
    <n v="27"/>
    <s v="Auto Eng"/>
    <x v="0"/>
    <s v="Manufacturing"/>
    <d v="2020-02-26T00:00:00"/>
    <m/>
    <n v="688000"/>
    <n v="0"/>
    <x v="1"/>
    <n v="5"/>
    <s v="20-29"/>
  </r>
  <r>
    <s v="E02971"/>
    <s v="Chan"/>
    <s v="Female"/>
    <n v="30"/>
    <s v=" Dev Eng"/>
    <x v="0"/>
    <s v="Manufacturing"/>
    <d v="2022-09-11T00:00:00"/>
    <m/>
    <n v="690000"/>
    <n v="0"/>
    <x v="1"/>
    <n v="3"/>
    <s v="30-39"/>
  </r>
  <r>
    <s v="E03327"/>
    <s v="Munoz"/>
    <s v="Female"/>
    <n v="36"/>
    <s v="Sr. Analyst"/>
    <x v="2"/>
    <s v="Manufacturing"/>
    <d v="2024-05-18T00:00:00"/>
    <m/>
    <n v="692000"/>
    <n v="0.12"/>
    <x v="1"/>
    <n v="1"/>
    <s v="30-39"/>
  </r>
  <r>
    <s v="E00900"/>
    <s v="Daniels"/>
    <s v="Male"/>
    <n v="45"/>
    <s v="Quality Eng"/>
    <x v="0"/>
    <s v="Corporate"/>
    <d v="2021-11-09T00:00:00"/>
    <m/>
    <n v="694000"/>
    <n v="0"/>
    <x v="1"/>
    <n v="4"/>
    <s v="40-49"/>
  </r>
  <r>
    <s v="E00836"/>
    <s v="Castro"/>
    <s v="Female"/>
    <n v="37"/>
    <s v="Ops Eng"/>
    <x v="0"/>
    <s v="Products"/>
    <d v="2020-05-12T00:00:00"/>
    <m/>
    <n v="696000"/>
    <n v="0"/>
    <x v="1"/>
    <n v="5"/>
    <s v="30-39"/>
  </r>
  <r>
    <s v="E03854"/>
    <s v="Liang"/>
    <s v="Male"/>
    <n v="38"/>
    <s v="Field Eng"/>
    <x v="0"/>
    <s v="Manufacturing"/>
    <d v="2022-09-11T00:00:00"/>
    <m/>
    <n v="698000"/>
    <n v="0.1"/>
    <x v="1"/>
    <n v="3"/>
    <s v="30-39"/>
  </r>
  <r>
    <s v="E04729"/>
    <s v="Alvarez"/>
    <s v="Male"/>
    <n v="45"/>
    <s v="Sr. Analyst"/>
    <x v="4"/>
    <s v="R&amp;D"/>
    <d v="2022-10-23T00:00:00"/>
    <m/>
    <n v="700000"/>
    <n v="0.32"/>
    <x v="1"/>
    <n v="3"/>
    <s v="40-49"/>
  </r>
  <r>
    <s v="E00360"/>
    <s v="Delgado"/>
    <s v="Female"/>
    <n v="51"/>
    <s v="Net Admin"/>
    <x v="5"/>
    <s v="Manufacturing"/>
    <d v="2024-08-23T00:00:00"/>
    <m/>
    <n v="702000"/>
    <n v="0.28999999999999998"/>
    <x v="1"/>
    <n v="1"/>
    <s v="50-59"/>
  </r>
  <r>
    <s v="E02284"/>
    <s v="Evans"/>
    <s v="Female"/>
    <n v="56"/>
    <s v="Sr. Analyst"/>
    <x v="3"/>
    <s v="Products"/>
    <d v="2023-11-07T00:00:00"/>
    <m/>
    <n v="704000"/>
    <n v="0"/>
    <x v="1"/>
    <n v="2"/>
    <s v="50-59"/>
  </r>
  <r>
    <s v="E00181"/>
    <s v="Li"/>
    <s v="Female"/>
    <n v="53"/>
    <s v=" Dev Eng"/>
    <x v="0"/>
    <s v="R&amp;D"/>
    <d v="2020-01-07T00:00:00"/>
    <d v="2024-02-10T00:00:00"/>
    <n v="706000"/>
    <n v="0"/>
    <x v="0"/>
    <n v="4"/>
    <s v="50-59"/>
  </r>
  <r>
    <s v="E04168"/>
    <s v="Acosta"/>
    <s v="Male"/>
    <n v="47"/>
    <s v="Net Admin"/>
    <x v="5"/>
    <s v="R&amp;D"/>
    <d v="2022-04-26T00:00:00"/>
    <m/>
    <n v="708000"/>
    <n v="0.09"/>
    <x v="1"/>
    <n v="3"/>
    <s v="40-49"/>
  </r>
  <r>
    <s v="E02861"/>
    <s v="Smith"/>
    <s v="Male"/>
    <n v="36"/>
    <s v="Field Eng"/>
    <x v="0"/>
    <s v="Corporate"/>
    <d v="2020-02-28T00:00:00"/>
    <m/>
    <n v="710000"/>
    <n v="0"/>
    <x v="1"/>
    <n v="5"/>
    <s v="30-39"/>
  </r>
  <r>
    <s v="E01357"/>
    <s v="Robinson"/>
    <s v="Female"/>
    <n v="41"/>
    <s v="Auto Eng"/>
    <x v="0"/>
    <s v="Corporate"/>
    <d v="2020-10-12T00:00:00"/>
    <m/>
    <n v="712000"/>
    <n v="0.13"/>
    <x v="1"/>
    <n v="5"/>
    <s v="40-49"/>
  </r>
  <r>
    <s v="E04387"/>
    <s v="Lopez"/>
    <s v="Female"/>
    <n v="30"/>
    <s v=" Dev Eng"/>
    <x v="0"/>
    <s v="Products"/>
    <d v="2022-01-27T00:00:00"/>
    <m/>
    <n v="714000"/>
    <n v="0"/>
    <x v="1"/>
    <n v="4"/>
    <s v="30-39"/>
  </r>
  <r>
    <s v="E03090"/>
    <s v="Owens"/>
    <s v="Female"/>
    <n v="30"/>
    <s v="Sr. Acc Rep"/>
    <x v="1"/>
    <s v="Corporate"/>
    <d v="2024-02-15T00:00:00"/>
    <m/>
    <n v="716000"/>
    <n v="0"/>
    <x v="1"/>
    <n v="1"/>
    <s v="30-39"/>
  </r>
  <r>
    <s v="E03591"/>
    <s v="Cao"/>
    <s v="Female"/>
    <n v="38"/>
    <s v="Field Eng"/>
    <x v="0"/>
    <s v="Products"/>
    <d v="2024-02-10T00:00:00"/>
    <m/>
    <n v="718000"/>
    <n v="0.19"/>
    <x v="1"/>
    <n v="2"/>
    <s v="30-39"/>
  </r>
  <r>
    <s v="E03328"/>
    <s v="Garcia"/>
    <s v="Female"/>
    <n v="28"/>
    <s v="Sr. Acc Rep"/>
    <x v="1"/>
    <s v="R&amp;D"/>
    <d v="2020-12-18T00:00:00"/>
    <m/>
    <n v="720000"/>
    <n v="7.0000000000000007E-2"/>
    <x v="1"/>
    <n v="5"/>
    <s v="20-29"/>
  </r>
  <r>
    <s v="E04937"/>
    <s v="Pham"/>
    <s v="Female"/>
    <n v="39"/>
    <s v="Auto Eng"/>
    <x v="0"/>
    <s v="Products"/>
    <d v="2020-01-07T00:00:00"/>
    <m/>
    <n v="722000"/>
    <n v="7.0000000000000007E-2"/>
    <x v="1"/>
    <n v="6"/>
    <s v="30-39"/>
  </r>
  <r>
    <s v="E00515"/>
    <s v="He"/>
    <s v="Female"/>
    <n v="31"/>
    <s v="Auto Eng"/>
    <x v="0"/>
    <s v="R&amp;D"/>
    <d v="2023-10-07T00:00:00"/>
    <m/>
    <n v="724000"/>
    <n v="0.1"/>
    <x v="1"/>
    <n v="2"/>
    <s v="30-39"/>
  </r>
  <r>
    <s v="E01241"/>
    <s v="Yi"/>
    <s v="Male"/>
    <n v="45"/>
    <s v="Sr. Manger"/>
    <x v="2"/>
    <s v="R&amp;D"/>
    <d v="2021-10-18T00:00:00"/>
    <m/>
    <n v="726000"/>
    <n v="0.1"/>
    <x v="1"/>
    <n v="4"/>
    <s v="40-49"/>
  </r>
  <r>
    <s v="E03255"/>
    <s v="Xiong"/>
    <s v="Female"/>
    <n v="50"/>
    <s v="Sr. Manger"/>
    <x v="3"/>
    <s v="Products"/>
    <d v="2022-08-18T00:00:00"/>
    <m/>
    <n v="728000"/>
    <n v="0"/>
    <x v="1"/>
    <n v="3"/>
    <s v="50-59"/>
  </r>
  <r>
    <s v="E01711"/>
    <s v="Baker"/>
    <s v="Male"/>
    <n v="36"/>
    <s v="Sr. Manger"/>
    <x v="4"/>
    <s v="Corporate"/>
    <d v="2024-05-28T00:00:00"/>
    <m/>
    <n v="730000"/>
    <n v="0"/>
    <x v="1"/>
    <n v="1"/>
    <s v="30-39"/>
  </r>
  <r>
    <s v="E00500"/>
    <s v="Martinez"/>
    <s v="Female"/>
    <n v="45"/>
    <s v="Quality Eng"/>
    <x v="0"/>
    <s v="Manufacturing"/>
    <d v="2022-09-07T00:00:00"/>
    <m/>
    <n v="732000"/>
    <n v="0.25"/>
    <x v="1"/>
    <n v="3"/>
    <s v="40-49"/>
  </r>
  <r>
    <s v="E04972"/>
    <s v="Chung"/>
    <s v="Female"/>
    <n v="29"/>
    <s v="Sr. Manger"/>
    <x v="3"/>
    <s v="Manufacturing"/>
    <d v="2024-01-03T00:00:00"/>
    <m/>
    <n v="734000"/>
    <n v="0.13"/>
    <x v="1"/>
    <n v="2"/>
    <s v="20-29"/>
  </r>
  <r>
    <s v="E02728"/>
    <s v="Jimenez"/>
    <s v="Male"/>
    <n v="41"/>
    <s v="IT Coord"/>
    <x v="5"/>
    <s v="R&amp;D"/>
    <d v="2023-05-28T00:00:00"/>
    <m/>
    <n v="736000"/>
    <n v="0"/>
    <x v="1"/>
    <n v="2"/>
    <s v="40-49"/>
  </r>
  <r>
    <s v="E04749"/>
    <s v="Tran"/>
    <s v="Male"/>
    <n v="47"/>
    <s v="Quality Eng"/>
    <x v="0"/>
    <s v="Products"/>
    <d v="2023-11-15T00:00:00"/>
    <m/>
    <n v="738000"/>
    <n v="0.12"/>
    <x v="1"/>
    <n v="2"/>
    <s v="40-49"/>
  </r>
  <r>
    <s v="E02023"/>
    <s v="Luu"/>
    <s v="Female"/>
    <n v="38"/>
    <s v="Quality Eng"/>
    <x v="0"/>
    <s v="R&amp;D"/>
    <d v="2020-01-21T00:00:00"/>
    <m/>
    <n v="740000"/>
    <n v="0"/>
    <x v="1"/>
    <n v="6"/>
    <s v="30-39"/>
  </r>
  <r>
    <s v="E03166"/>
    <s v="Ahmed"/>
    <s v="Male"/>
    <n v="40"/>
    <s v="Ops Eng"/>
    <x v="0"/>
    <s v="Corporate"/>
    <d v="2023-10-07T00:00:00"/>
    <m/>
    <n v="742000"/>
    <n v="0"/>
    <x v="1"/>
    <n v="2"/>
    <s v="40-49"/>
  </r>
  <r>
    <s v="E02599"/>
    <s v="Patel"/>
    <s v="Female"/>
    <n v="45"/>
    <s v="IT Coord"/>
    <x v="5"/>
    <s v="Products"/>
    <d v="2024-04-19T00:00:00"/>
    <m/>
    <n v="744000"/>
    <n v="0.34"/>
    <x v="1"/>
    <n v="1"/>
    <s v="40-49"/>
  </r>
  <r>
    <s v="E01014"/>
    <s v="Patterson"/>
    <s v="Female"/>
    <n v="26"/>
    <s v="Ops Eng"/>
    <x v="0"/>
    <s v="R&amp;D"/>
    <d v="2020-09-09T00:00:00"/>
    <m/>
    <n v="746000"/>
    <n v="0.21"/>
    <x v="1"/>
    <n v="5"/>
    <s v="20-29"/>
  </r>
  <r>
    <s v="E04529"/>
    <s v="Young"/>
    <s v="Male"/>
    <n v="35"/>
    <s v="Ops Eng"/>
    <x v="0"/>
    <s v="Manufacturing"/>
    <d v="2023-11-03T00:00:00"/>
    <m/>
    <n v="748000"/>
    <n v="0"/>
    <x v="1"/>
    <n v="2"/>
    <s v="30-39"/>
  </r>
  <r>
    <s v="E00085"/>
    <s v="Ho"/>
    <s v="Female"/>
    <n v="29"/>
    <s v="IT Coord"/>
    <x v="5"/>
    <s v="Manufacturing"/>
    <d v="2024-04-30T00:00:00"/>
    <m/>
    <n v="750000"/>
    <n v="0.11"/>
    <x v="1"/>
    <n v="1"/>
    <s v="20-29"/>
  </r>
  <r>
    <s v="E00632"/>
    <s v="Hoang"/>
    <s v="Male"/>
    <n v="35"/>
    <s v="Auto Eng"/>
    <x v="0"/>
    <s v="Manufacturing"/>
    <d v="2020-02-26T00:00:00"/>
    <m/>
    <n v="752000"/>
    <n v="0"/>
    <x v="1"/>
    <n v="5"/>
    <s v="30-39"/>
  </r>
  <r>
    <s v="E02108"/>
    <s v="Medina"/>
    <s v="Female"/>
    <n v="27"/>
    <s v=" Dev Eng"/>
    <x v="0"/>
    <s v="Manufacturing"/>
    <d v="2022-09-11T00:00:00"/>
    <d v="2023-11-07T00:00:00"/>
    <n v="754000"/>
    <n v="0.13"/>
    <x v="0"/>
    <n v="1"/>
    <s v="20-29"/>
  </r>
  <r>
    <s v="E03802"/>
    <s v="Vasquez"/>
    <s v="Female"/>
    <n v="31"/>
    <s v="Sr. Analyst"/>
    <x v="2"/>
    <s v="Manufacturing"/>
    <d v="2024-05-18T00:00:00"/>
    <m/>
    <n v="756000"/>
    <n v="0.21"/>
    <x v="1"/>
    <n v="1"/>
    <s v="30-39"/>
  </r>
  <r>
    <s v="E03685"/>
    <s v="Wilson"/>
    <s v="Female"/>
    <n v="31"/>
    <s v="Quality Eng"/>
    <x v="0"/>
    <s v="Corporate"/>
    <d v="2021-11-09T00:00:00"/>
    <m/>
    <n v="758000"/>
    <n v="0"/>
    <x v="1"/>
    <n v="4"/>
    <s v="30-39"/>
  </r>
  <r>
    <s v="E01089"/>
    <s v="Gomez"/>
    <s v="Female"/>
    <n v="31"/>
    <s v="Ops Eng"/>
    <x v="0"/>
    <s v="Products"/>
    <d v="2020-05-12T00:00:00"/>
    <m/>
    <n v="760000"/>
    <n v="0"/>
    <x v="1"/>
    <n v="5"/>
    <s v="30-39"/>
  </r>
  <r>
    <s v="E03988"/>
    <s v="Gutierrez"/>
    <s v="Female"/>
    <n v="36"/>
    <s v="Field Eng"/>
    <x v="0"/>
    <s v="Manufacturing"/>
    <d v="2022-09-11T00:00:00"/>
    <m/>
    <n v="762000"/>
    <n v="0"/>
    <x v="1"/>
    <n v="3"/>
    <s v="30-39"/>
  </r>
  <r>
    <s v="E00401"/>
    <s v="Ramos"/>
    <s v="Male"/>
    <n v="45"/>
    <s v="Sr. Analyst"/>
    <x v="4"/>
    <s v="R&amp;D"/>
    <d v="2022-10-23T00:00:00"/>
    <m/>
    <n v="764000"/>
    <n v="0"/>
    <x v="1"/>
    <n v="3"/>
    <s v="40-49"/>
  </r>
  <r>
    <s v="E03429"/>
    <s v="Gonzalez"/>
    <s v="Male"/>
    <n v="37"/>
    <s v="Net Admin"/>
    <x v="5"/>
    <s v="Manufacturing"/>
    <d v="2024-08-23T00:00:00"/>
    <m/>
    <n v="766000"/>
    <n v="0"/>
    <x v="1"/>
    <n v="1"/>
    <s v="30-39"/>
  </r>
  <r>
    <s v="E02417"/>
    <s v="Sun"/>
    <s v="Female"/>
    <n v="38"/>
    <s v="Sr. Analyst"/>
    <x v="3"/>
    <s v="Products"/>
    <d v="2023-11-07T00:00:00"/>
    <m/>
    <n v="768000"/>
    <n v="0"/>
    <x v="1"/>
    <n v="2"/>
    <s v="30-39"/>
  </r>
  <r>
    <s v="E00359"/>
    <s v="Campos"/>
    <s v="Male"/>
    <n v="45"/>
    <s v=" Dev Eng"/>
    <x v="0"/>
    <s v="R&amp;D"/>
    <d v="2023-10-07T00:00:00"/>
    <m/>
    <n v="770000"/>
    <n v="0"/>
    <x v="1"/>
    <n v="2"/>
    <s v="40-49"/>
  </r>
  <r>
    <s v="E02044"/>
    <s v="Wu"/>
    <s v="Female"/>
    <n v="51"/>
    <s v="Net Admin"/>
    <x v="5"/>
    <s v="R&amp;D"/>
    <d v="2022-04-26T00:00:00"/>
    <m/>
    <n v="772000"/>
    <n v="0"/>
    <x v="1"/>
    <n v="3"/>
    <s v="50-59"/>
  </r>
  <r>
    <s v="E01479"/>
    <s v="Luong"/>
    <s v="Female"/>
    <n v="56"/>
    <s v="Field Eng"/>
    <x v="0"/>
    <s v="Corporate"/>
    <d v="2020-02-28T00:00:00"/>
    <m/>
    <n v="774000"/>
    <n v="0"/>
    <x v="1"/>
    <n v="5"/>
    <s v="50-59"/>
  </r>
  <r>
    <s v="E04962"/>
    <s v="Roberts"/>
    <s v="Female"/>
    <n v="53"/>
    <s v="Auto Eng"/>
    <x v="0"/>
    <s v="Corporate"/>
    <d v="2020-10-12T00:00:00"/>
    <d v="2024-05-28T00:00:00"/>
    <n v="776000"/>
    <n v="0.4"/>
    <x v="0"/>
    <n v="3"/>
    <s v="50-59"/>
  </r>
  <r>
    <s v="E02769"/>
    <s v="Hu"/>
    <s v="Female"/>
    <n v="47"/>
    <s v=" Dev Eng"/>
    <x v="0"/>
    <s v="Products"/>
    <d v="2022-01-27T00:00:00"/>
    <m/>
    <n v="778000"/>
    <n v="0"/>
    <x v="1"/>
    <n v="4"/>
    <s v="40-49"/>
  </r>
  <r>
    <s v="E03893"/>
    <s v="Juarez"/>
    <s v="Male"/>
    <n v="36"/>
    <s v="Sr. Acc Rep"/>
    <x v="1"/>
    <s v="Corporate"/>
    <d v="2024-02-15T00:00:00"/>
    <m/>
    <n v="780000"/>
    <n v="0.34"/>
    <x v="1"/>
    <n v="1"/>
    <s v="30-39"/>
  </r>
  <r>
    <s v="E00553"/>
    <s v="Ngo"/>
    <s v="Female"/>
    <n v="41"/>
    <s v="Field Eng"/>
    <x v="0"/>
    <s v="Products"/>
    <d v="2022-02-10T00:00:00"/>
    <d v="2024-05-28T00:00:00"/>
    <n v="782000"/>
    <n v="0"/>
    <x v="0"/>
    <n v="2"/>
    <s v="40-49"/>
  </r>
  <r>
    <s v="E03540"/>
    <s v="Vazquez"/>
    <s v="Female"/>
    <n v="31"/>
    <s v="Sr. Acc Rep"/>
    <x v="1"/>
    <s v="R&amp;D"/>
    <d v="2020-12-18T00:00:00"/>
    <m/>
    <n v="784000"/>
    <n v="0"/>
    <x v="1"/>
    <n v="5"/>
    <s v="30-39"/>
  </r>
  <r>
    <s v="E02769"/>
    <s v="Ford"/>
    <s v="Female"/>
    <n v="31"/>
    <s v="Auto Eng"/>
    <x v="0"/>
    <s v="Products"/>
    <d v="2020-01-07T00:00:00"/>
    <m/>
    <n v="786000"/>
    <n v="0.11"/>
    <x v="1"/>
    <n v="6"/>
    <s v="30-39"/>
  </r>
  <r>
    <s v="E03277"/>
    <s v="Shah"/>
    <s v="Female"/>
    <n v="38"/>
    <s v="Auto Eng"/>
    <x v="0"/>
    <s v="R&amp;D"/>
    <d v="2023-10-07T00:00:00"/>
    <m/>
    <n v="788000"/>
    <n v="0.12"/>
    <x v="1"/>
    <n v="2"/>
    <s v="30-39"/>
  </r>
  <r>
    <s v="E04194"/>
    <s v="Chang"/>
    <s v="Female"/>
    <n v="31"/>
    <s v="Sr. Manger"/>
    <x v="2"/>
    <s v="R&amp;D"/>
    <d v="2021-10-18T00:00:00"/>
    <m/>
    <n v="790000"/>
    <n v="0.23"/>
    <x v="1"/>
    <n v="4"/>
    <s v="30-39"/>
  </r>
  <r>
    <s v="E01807"/>
    <s v="Phan"/>
    <s v="Female"/>
    <n v="39"/>
    <s v="Sr. Manger"/>
    <x v="3"/>
    <s v="Products"/>
    <d v="2022-08-18T00:00:00"/>
    <m/>
    <n v="792000"/>
    <n v="0"/>
    <x v="1"/>
    <n v="3"/>
    <s v="30-39"/>
  </r>
  <r>
    <s v="E01762"/>
    <s v="Tan"/>
    <s v="Male"/>
    <n v="31"/>
    <s v="Sr. Manger"/>
    <x v="4"/>
    <s v="Corporate"/>
    <d v="2024-05-28T00:00:00"/>
    <m/>
    <n v="794000"/>
    <n v="0.06"/>
    <x v="1"/>
    <n v="1"/>
    <s v="30-39"/>
  </r>
  <r>
    <s v="E02632"/>
    <s v="Yoon"/>
    <s v="Female"/>
    <n v="45"/>
    <s v="Quality Eng"/>
    <x v="0"/>
    <s v="Manufacturing"/>
    <d v="2022-09-07T00:00:00"/>
    <m/>
    <n v="796000"/>
    <n v="0"/>
    <x v="1"/>
    <n v="3"/>
    <s v="40-49"/>
  </r>
  <r>
    <s v="E04226"/>
    <s v="Lim"/>
    <s v="Male"/>
    <n v="50"/>
    <s v="Sr. Manger"/>
    <x v="3"/>
    <s v="Manufacturing"/>
    <d v="2024-01-03T00:00:00"/>
    <m/>
    <n v="798000"/>
    <n v="0"/>
    <x v="1"/>
    <n v="2"/>
    <s v="50-59"/>
  </r>
  <r>
    <s v="E04101"/>
    <s v="Harris"/>
    <s v="Male"/>
    <n v="36"/>
    <s v="IT Coord"/>
    <x v="5"/>
    <s v="R&amp;D"/>
    <d v="2023-05-28T00:00:00"/>
    <m/>
    <n v="800000"/>
    <n v="0.27"/>
    <x v="1"/>
    <n v="2"/>
    <s v="30-39"/>
  </r>
  <r>
    <s v="E01981"/>
    <s v="Banks"/>
    <s v="Male"/>
    <n v="45"/>
    <s v="Quality Eng"/>
    <x v="0"/>
    <s v="Products"/>
    <d v="2023-11-15T00:00:00"/>
    <m/>
    <n v="802000"/>
    <n v="0"/>
    <x v="1"/>
    <n v="2"/>
    <s v="40-49"/>
  </r>
  <r>
    <s v="E02534"/>
    <s v="Flores"/>
    <s v="Female"/>
    <n v="31"/>
    <s v="Quality Eng"/>
    <x v="0"/>
    <s v="R&amp;D"/>
    <d v="2020-01-21T00:00:00"/>
    <m/>
    <n v="804000"/>
    <n v="0.12"/>
    <x v="1"/>
    <n v="6"/>
    <s v="30-39"/>
  </r>
  <r>
    <s v="E01238"/>
    <s v="Woods"/>
    <s v="Male"/>
    <n v="41"/>
    <s v="Ops Eng"/>
    <x v="0"/>
    <s v="Corporate"/>
    <d v="2023-10-07T00:00:00"/>
    <m/>
    <n v="806000"/>
    <n v="0.15"/>
    <x v="1"/>
    <n v="2"/>
    <s v="40-49"/>
  </r>
  <r>
    <s v="E01118"/>
    <s v="Khan"/>
    <s v="Female"/>
    <n v="47"/>
    <s v="IT Coord"/>
    <x v="5"/>
    <s v="Products"/>
    <d v="2024-04-19T00:00:00"/>
    <m/>
    <n v="808000"/>
    <n v="0.08"/>
    <x v="1"/>
    <n v="1"/>
    <s v="40-49"/>
  </r>
  <r>
    <s v="E04041"/>
    <s v="Taylor"/>
    <s v="Male"/>
    <n v="38"/>
    <s v="Ops Eng"/>
    <x v="0"/>
    <s v="R&amp;D"/>
    <d v="2020-09-09T00:00:00"/>
    <m/>
    <n v="810000"/>
    <n v="0"/>
    <x v="1"/>
    <n v="5"/>
    <s v="30-39"/>
  </r>
  <r>
    <s v="E04308"/>
    <s v="Hwang"/>
    <s v="Male"/>
    <n v="40"/>
    <s v="Ops Eng"/>
    <x v="0"/>
    <s v="Manufacturing"/>
    <d v="2023-11-03T00:00:00"/>
    <m/>
    <n v="812000"/>
    <n v="0"/>
    <x v="1"/>
    <n v="2"/>
    <s v="40-49"/>
  </r>
  <r>
    <s v="E01052"/>
    <s v="Lau"/>
    <s v="Male"/>
    <n v="45"/>
    <s v="IT Coord"/>
    <x v="5"/>
    <s v="Manufacturing"/>
    <d v="2022-04-30T00:00:00"/>
    <d v="2023-11-07T00:00:00"/>
    <n v="814000"/>
    <n v="0.12"/>
    <x v="0"/>
    <n v="1"/>
    <s v="40-49"/>
  </r>
  <r>
    <s v="E04165"/>
    <s v="Stewart"/>
    <s v="Female"/>
    <n v="31"/>
    <s v="Auto Eng"/>
    <x v="0"/>
    <s v="Manufacturing"/>
    <d v="2020-02-26T00:00:00"/>
    <m/>
    <n v="816000"/>
    <n v="0.14000000000000001"/>
    <x v="1"/>
    <n v="5"/>
    <s v="30-39"/>
  </r>
  <r>
    <s v="E02295"/>
    <s v="Thompson"/>
    <s v="Male"/>
    <n v="35"/>
    <s v=" Dev Eng"/>
    <x v="0"/>
    <s v="Manufacturing"/>
    <d v="2022-09-11T00:00:00"/>
    <m/>
    <n v="818000"/>
    <n v="0"/>
    <x v="1"/>
    <n v="3"/>
    <s v="30-39"/>
  </r>
  <r>
    <s v="E04546"/>
    <s v="Miller"/>
    <s v="Female"/>
    <n v="31"/>
    <s v="Sr. Analyst"/>
    <x v="2"/>
    <s v="Manufacturing"/>
    <d v="2024-05-18T00:00:00"/>
    <m/>
    <n v="820000"/>
    <n v="0"/>
    <x v="1"/>
    <n v="1"/>
    <s v="30-39"/>
  </r>
  <r>
    <s v="E04217"/>
    <s v="Dominguez"/>
    <s v="Female"/>
    <n v="35"/>
    <s v="Quality Eng"/>
    <x v="0"/>
    <s v="Corporate"/>
    <d v="2021-11-09T00:00:00"/>
    <m/>
    <n v="822000"/>
    <n v="0"/>
    <x v="1"/>
    <n v="4"/>
    <s v="30-39"/>
  </r>
  <r>
    <s v="E00650"/>
    <s v="Lee"/>
    <s v="Female"/>
    <n v="31"/>
    <s v="Ops Eng"/>
    <x v="0"/>
    <s v="Products"/>
    <d v="2020-05-12T00:00:00"/>
    <m/>
    <n v="824000"/>
    <n v="0"/>
    <x v="1"/>
    <n v="5"/>
    <s v="30-39"/>
  </r>
  <r>
    <s v="E00344"/>
    <s v="Nunez"/>
    <s v="Female"/>
    <n v="31"/>
    <s v="Field Eng"/>
    <x v="0"/>
    <s v="Manufacturing"/>
    <d v="2022-09-11T00:00:00"/>
    <m/>
    <n v="826000"/>
    <n v="0.23"/>
    <x v="1"/>
    <n v="3"/>
    <s v="30-39"/>
  </r>
  <r>
    <s v="E04645"/>
    <s v="Lin"/>
    <s v="Female"/>
    <n v="31"/>
    <s v="Sr. Analyst"/>
    <x v="4"/>
    <s v="R&amp;D"/>
    <d v="2022-10-23T00:00:00"/>
    <m/>
    <n v="828000"/>
    <n v="0.36"/>
    <x v="1"/>
    <n v="3"/>
    <s v="30-39"/>
  </r>
  <r>
    <s v="E03880"/>
    <s v="Chen"/>
    <s v="Female"/>
    <n v="31"/>
    <s v="Net Admin"/>
    <x v="5"/>
    <s v="Manufacturing"/>
    <d v="2024-08-23T00:00:00"/>
    <m/>
    <n v="830000"/>
    <n v="0"/>
    <x v="1"/>
    <n v="1"/>
    <s v="30-39"/>
  </r>
  <r>
    <s v="E02730"/>
    <s v="Nguyen"/>
    <s v="Female"/>
    <n v="36"/>
    <s v="Sr. Analyst"/>
    <x v="3"/>
    <s v="Products"/>
    <d v="2023-11-07T00:00:00"/>
    <m/>
    <n v="832000"/>
    <n v="0"/>
    <x v="1"/>
    <n v="2"/>
    <s v="30-39"/>
  </r>
  <r>
    <s v="E04517"/>
    <s v="Sanchez"/>
    <s v="Male"/>
    <n v="45"/>
    <s v=" Dev Eng"/>
    <x v="0"/>
    <s v="R&amp;D"/>
    <d v="2023-10-07T00:00:00"/>
    <m/>
    <n v="834000"/>
    <n v="0.09"/>
    <x v="1"/>
    <n v="2"/>
    <s v="40-49"/>
  </r>
  <r>
    <s v="E00965"/>
    <s v="Morris"/>
    <s v="Male"/>
    <n v="37"/>
    <s v="Net Admin"/>
    <x v="5"/>
    <s v="R&amp;D"/>
    <d v="2022-04-26T00:00:00"/>
    <m/>
    <n v="836000"/>
    <n v="0.09"/>
    <x v="1"/>
    <n v="3"/>
    <s v="30-39"/>
  </r>
  <r>
    <s v="E04639"/>
    <s v="Cruz"/>
    <s v="Male"/>
    <n v="38"/>
    <s v="Field Eng"/>
    <x v="0"/>
    <s v="Corporate"/>
    <d v="2020-02-28T00:00:00"/>
    <m/>
    <n v="838000"/>
    <n v="0"/>
    <x v="1"/>
    <n v="5"/>
    <s v="30-39"/>
  </r>
  <r>
    <s v="E00465"/>
    <s v="Collins"/>
    <s v="Male"/>
    <n v="45"/>
    <s v="Auto Eng"/>
    <x v="0"/>
    <s v="Corporate"/>
    <d v="2020-10-12T00:00:00"/>
    <m/>
    <n v="840000"/>
    <n v="0"/>
    <x v="1"/>
    <n v="5"/>
    <s v="40-49"/>
  </r>
  <r>
    <s v="E03058"/>
    <s v="Howard"/>
    <s v="Female"/>
    <n v="51"/>
    <s v=" Dev Eng"/>
    <x v="0"/>
    <s v="Products"/>
    <d v="2022-01-27T00:00:00"/>
    <m/>
    <n v="842000"/>
    <n v="0.36"/>
    <x v="1"/>
    <n v="4"/>
    <s v="50-59"/>
  </r>
  <r>
    <s v="E02337"/>
    <s v="Song"/>
    <s v="Female"/>
    <n v="56"/>
    <s v="Sr. Acc Rep"/>
    <x v="1"/>
    <s v="Corporate"/>
    <d v="2024-02-15T00:00:00"/>
    <m/>
    <n v="844000"/>
    <n v="0"/>
    <x v="1"/>
    <n v="1"/>
    <s v="50-59"/>
  </r>
  <r>
    <s v="E04927"/>
    <s v="Lo"/>
    <s v="Female"/>
    <n v="53"/>
    <s v="Field Eng"/>
    <x v="0"/>
    <s v="Products"/>
    <d v="2024-02-10T00:00:00"/>
    <m/>
    <n v="846000"/>
    <n v="0"/>
    <x v="1"/>
    <n v="2"/>
    <s v="50-59"/>
  </r>
  <r>
    <s v="E03799"/>
    <s v="Turner"/>
    <s v="Female"/>
    <n v="47"/>
    <s v="Sr. Acc Rep"/>
    <x v="1"/>
    <s v="R&amp;D"/>
    <d v="2020-12-18T00:00:00"/>
    <m/>
    <n v="848000"/>
    <n v="0"/>
    <x v="1"/>
    <n v="5"/>
    <s v="40-49"/>
  </r>
  <r>
    <s v="E04538"/>
    <s v="Ma"/>
    <s v="Female"/>
    <n v="36"/>
    <s v="Auto Eng"/>
    <x v="0"/>
    <s v="Products"/>
    <d v="2020-01-07T00:00:00"/>
    <m/>
    <n v="850000"/>
    <n v="0"/>
    <x v="1"/>
    <n v="6"/>
    <s v="30-39"/>
  </r>
  <r>
    <s v="E02633"/>
    <s v="Le"/>
    <s v="Female"/>
    <n v="41"/>
    <s v="Auto Eng"/>
    <x v="0"/>
    <s v="R&amp;D"/>
    <d v="2023-10-07T00:00:00"/>
    <m/>
    <n v="852000"/>
    <n v="0.38"/>
    <x v="1"/>
    <n v="2"/>
    <s v="40-49"/>
  </r>
  <r>
    <s v="E02965"/>
    <s v="Castillo"/>
    <s v="Female"/>
    <n v="31"/>
    <s v="Sr. Manger"/>
    <x v="2"/>
    <s v="R&amp;D"/>
    <d v="2021-10-18T00:00:00"/>
    <m/>
    <n v="854000"/>
    <n v="0.15"/>
    <x v="1"/>
    <n v="4"/>
    <s v="30-39"/>
  </r>
  <r>
    <s v="E04345"/>
    <s v="Estrada"/>
    <s v="Female"/>
    <n v="31"/>
    <s v="Sr. Manger"/>
    <x v="3"/>
    <s v="Products"/>
    <d v="2022-08-18T00:00:00"/>
    <m/>
    <n v="856000"/>
    <n v="0.1"/>
    <x v="1"/>
    <n v="3"/>
    <s v="30-39"/>
  </r>
  <r>
    <s v="E02895"/>
    <s v="Cortez"/>
    <s v="Female"/>
    <n v="38"/>
    <s v="Sr. Manger"/>
    <x v="4"/>
    <s v="Corporate"/>
    <d v="2024-05-28T00:00:00"/>
    <m/>
    <n v="858000"/>
    <n v="0.15"/>
    <x v="1"/>
    <n v="1"/>
    <s v="30-39"/>
  </r>
  <r>
    <s v="E01132"/>
    <s v="Ha"/>
    <s v="Female"/>
    <n v="28"/>
    <s v="Quality Eng"/>
    <x v="0"/>
    <s v="Manufacturing"/>
    <d v="2022-09-07T00:00:00"/>
    <d v="2024-04-30T00:00:00"/>
    <n v="860000"/>
    <n v="0.05"/>
    <x v="0"/>
    <n v="1"/>
    <s v="20-29"/>
  </r>
  <r>
    <s v="E00758"/>
    <s v="Scott"/>
    <s v="Female"/>
    <n v="39"/>
    <s v="Sr. Manger"/>
    <x v="3"/>
    <s v="Manufacturing"/>
    <d v="2024-01-03T00:00:00"/>
    <m/>
    <n v="862000"/>
    <n v="0"/>
    <x v="1"/>
    <n v="2"/>
    <s v="30-39"/>
  </r>
  <r>
    <s v="E03750"/>
    <s v="Kaur"/>
    <s v="Male"/>
    <n v="31"/>
    <s v="IT Coord"/>
    <x v="5"/>
    <s v="R&amp;D"/>
    <d v="2023-05-28T00:00:00"/>
    <m/>
    <n v="864000"/>
    <n v="0.18"/>
    <x v="1"/>
    <n v="2"/>
    <s v="30-39"/>
  </r>
  <r>
    <s v="E00144"/>
    <s v="Gonzales"/>
    <s v="Male"/>
    <n v="45"/>
    <s v="Quality Eng"/>
    <x v="0"/>
    <s v="Products"/>
    <d v="2023-11-15T00:00:00"/>
    <m/>
    <n v="866000"/>
    <n v="0"/>
    <x v="1"/>
    <n v="2"/>
    <s v="40-49"/>
  </r>
  <r>
    <s v="E02943"/>
    <s v="Valdez"/>
    <s v="Male"/>
    <n v="50"/>
    <s v="Quality Eng"/>
    <x v="0"/>
    <s v="R&amp;D"/>
    <d v="2020-01-21T00:00:00"/>
    <m/>
    <n v="868000"/>
    <n v="0"/>
    <x v="1"/>
    <n v="6"/>
    <s v="50-59"/>
  </r>
  <r>
    <s v="E03901"/>
    <s v="Singh"/>
    <s v="Female"/>
    <n v="36"/>
    <s v="Ops Eng"/>
    <x v="0"/>
    <s v="Corporate"/>
    <d v="2023-10-07T00:00:00"/>
    <m/>
    <n v="870000"/>
    <n v="0.24"/>
    <x v="1"/>
    <n v="2"/>
    <s v="30-39"/>
  </r>
  <r>
    <s v="E03461"/>
    <s v="Ortega"/>
    <s v="Male"/>
    <n v="45"/>
    <s v="IT Coord"/>
    <x v="5"/>
    <s v="Products"/>
    <d v="2020-04-19T00:00:00"/>
    <d v="2023-05-28T00:00:00"/>
    <n v="872000"/>
    <n v="0"/>
    <x v="0"/>
    <n v="3"/>
    <s v="40-49"/>
  </r>
  <r>
    <s v="E03490"/>
    <s v="Trinh"/>
    <s v="Female"/>
    <n v="31"/>
    <s v="Ops Eng"/>
    <x v="0"/>
    <s v="R&amp;D"/>
    <d v="2020-09-09T00:00:00"/>
    <m/>
    <n v="874000"/>
    <n v="0.15"/>
    <x v="1"/>
    <n v="5"/>
    <s v="30-39"/>
  </r>
  <r>
    <s v="E04466"/>
    <s v="Allen"/>
    <s v="Male"/>
    <n v="41"/>
    <s v="Ops Eng"/>
    <x v="0"/>
    <s v="Manufacturing"/>
    <d v="2023-11-03T00:00:00"/>
    <m/>
    <n v="876000"/>
    <n v="0"/>
    <x v="1"/>
    <n v="2"/>
    <s v="40-49"/>
  </r>
  <r>
    <s v="E03226"/>
    <s v="Avila"/>
    <s v="Male"/>
    <n v="47"/>
    <s v="IT Coord"/>
    <x v="5"/>
    <s v="Manufacturing"/>
    <d v="2024-04-30T00:00:00"/>
    <m/>
    <n v="878000"/>
    <n v="0.38"/>
    <x v="1"/>
    <n v="1"/>
    <s v="40-49"/>
  </r>
  <r>
    <s v="E04607"/>
    <s v="Vargas"/>
    <s v="Male"/>
    <n v="38"/>
    <s v="Auto Eng"/>
    <x v="0"/>
    <s v="Manufacturing"/>
    <d v="2020-02-26T00:00:00"/>
    <m/>
    <n v="880000"/>
    <n v="0.3"/>
    <x v="1"/>
    <n v="5"/>
    <s v="30-39"/>
  </r>
  <r>
    <s v="E02678"/>
    <s v="Tang"/>
    <s v="Male"/>
    <n v="40"/>
    <s v=" Dev Eng"/>
    <x v="0"/>
    <s v="Manufacturing"/>
    <d v="2022-09-11T00:00:00"/>
    <m/>
    <n v="882000"/>
    <n v="0.23"/>
    <x v="1"/>
    <n v="3"/>
    <s v="40-49"/>
  </r>
  <r>
    <s v="E02190"/>
    <s v="Santos"/>
    <s v="Male"/>
    <n v="45"/>
    <s v="Sr. Analyst"/>
    <x v="2"/>
    <s v="Manufacturing"/>
    <d v="2024-05-18T00:00:00"/>
    <m/>
    <n v="884000"/>
    <n v="0"/>
    <x v="1"/>
    <n v="1"/>
    <s v="40-49"/>
  </r>
  <r>
    <s v="E00747"/>
    <s v="Ramirez"/>
    <s v="Female"/>
    <n v="31"/>
    <s v="Quality Eng"/>
    <x v="0"/>
    <s v="Corporate"/>
    <d v="2021-11-09T00:00:00"/>
    <m/>
    <n v="886000"/>
    <n v="0"/>
    <x v="1"/>
    <n v="4"/>
    <s v="30-39"/>
  </r>
  <r>
    <s v="E00268"/>
    <s v="Zhou"/>
    <s v="Female"/>
    <n v="35"/>
    <s v="Ops Eng"/>
    <x v="0"/>
    <s v="Products"/>
    <d v="2020-05-12T00:00:00"/>
    <m/>
    <n v="888000"/>
    <n v="0.24"/>
    <x v="1"/>
    <n v="5"/>
    <s v="30-39"/>
  </r>
  <r>
    <s v="E01416"/>
    <s v="Kim"/>
    <s v="Male"/>
    <n v="31"/>
    <s v="Field Eng"/>
    <x v="0"/>
    <s v="Manufacturing"/>
    <d v="2022-09-11T00:00:00"/>
    <m/>
    <n v="890000"/>
    <n v="0"/>
    <x v="1"/>
    <n v="3"/>
    <s v="30-39"/>
  </r>
  <r>
    <s v="E01524"/>
    <s v="Perez"/>
    <s v="Female"/>
    <n v="35"/>
    <s v="Sr. Analyst"/>
    <x v="4"/>
    <s v="R&amp;D"/>
    <d v="2022-10-23T00:00:00"/>
    <m/>
    <n v="892000"/>
    <n v="0.08"/>
    <x v="1"/>
    <n v="3"/>
    <s v="30-39"/>
  </r>
  <r>
    <s v="E03849"/>
    <s v="Oh"/>
    <s v="Male"/>
    <n v="31"/>
    <s v="Net Admin"/>
    <x v="5"/>
    <s v="Manufacturing"/>
    <d v="2024-08-23T00:00:00"/>
    <m/>
    <n v="894000"/>
    <n v="0"/>
    <x v="1"/>
    <n v="1"/>
    <s v="30-39"/>
  </r>
  <r>
    <s v="E02801"/>
    <s v="Moreno"/>
    <s v="Male"/>
    <n v="31"/>
    <s v="Sr. Analyst"/>
    <x v="3"/>
    <s v="Products"/>
    <d v="2023-11-07T00:00:00"/>
    <m/>
    <n v="896000"/>
    <n v="0.12"/>
    <x v="1"/>
    <n v="2"/>
    <s v="30-39"/>
  </r>
  <r>
    <s v="E04155"/>
    <s v="Campbell"/>
    <s v="Female"/>
    <n v="31"/>
    <s v=" Dev Eng"/>
    <x v="0"/>
    <s v="R&amp;D"/>
    <d v="2023-10-07T00:00:00"/>
    <m/>
    <n v="898000"/>
    <n v="0"/>
    <x v="1"/>
    <n v="2"/>
    <s v="30-39"/>
  </r>
  <r>
    <s v="E01952"/>
    <s v="Phillips"/>
    <s v="Male"/>
    <n v="31"/>
    <s v="Net Admin"/>
    <x v="5"/>
    <s v="R&amp;D"/>
    <d v="2022-04-26T00:00:00"/>
    <m/>
    <n v="900000"/>
    <n v="0"/>
    <x v="1"/>
    <n v="3"/>
    <s v="30-39"/>
  </r>
  <r>
    <s v="E00116"/>
    <s v="Mendoza"/>
    <s v="Male"/>
    <n v="36"/>
    <s v="Field Eng"/>
    <x v="0"/>
    <s v="Corporate"/>
    <d v="2020-02-28T00:00:00"/>
    <m/>
    <n v="902000"/>
    <n v="0"/>
    <x v="1"/>
    <n v="5"/>
    <s v="30-39"/>
  </r>
  <r>
    <s v="E04811"/>
    <s v="Green"/>
    <s v="Male"/>
    <n v="45"/>
    <s v="Auto Eng"/>
    <x v="0"/>
    <s v="Corporate"/>
    <d v="2020-10-12T00:00:00"/>
    <m/>
    <n v="904000"/>
    <n v="0"/>
    <x v="1"/>
    <n v="5"/>
    <s v="40-49"/>
  </r>
  <r>
    <s v="E00624"/>
    <s v="Rios"/>
    <s v="Male"/>
    <n v="37"/>
    <s v=" Dev Eng"/>
    <x v="0"/>
    <s v="Products"/>
    <d v="2022-01-27T00:00:00"/>
    <m/>
    <n v="906000"/>
    <n v="0.26"/>
    <x v="1"/>
    <n v="4"/>
    <s v="30-39"/>
  </r>
  <r>
    <s v="E03404"/>
    <s v="Wyatt"/>
    <s v="Female"/>
    <n v="38"/>
    <s v="Sr. Acc Rep"/>
    <x v="1"/>
    <s v="Corporate"/>
    <d v="2024-02-15T00:00:00"/>
    <m/>
    <n v="908000"/>
    <n v="0"/>
    <x v="1"/>
    <n v="1"/>
    <s v="30-39"/>
  </r>
  <r>
    <s v="E01845"/>
    <s v="Zoey"/>
    <s v="Male"/>
    <n v="45"/>
    <s v="Field Eng"/>
    <x v="0"/>
    <s v="Products"/>
    <d v="2021-02-10T00:00:00"/>
    <d v="2023-11-15T00:00:00"/>
    <n v="910000"/>
    <n v="0.09"/>
    <x v="0"/>
    <n v="2"/>
    <s v="40-49"/>
  </r>
  <r>
    <s v="E04784"/>
    <s v="Elizabeth"/>
    <s v="Female"/>
    <n v="51"/>
    <s v="Sr. Acc Rep"/>
    <x v="1"/>
    <s v="R&amp;D"/>
    <d v="2020-12-18T00:00:00"/>
    <m/>
    <n v="912000"/>
    <n v="0"/>
    <x v="1"/>
    <n v="5"/>
    <s v="50-59"/>
  </r>
  <r>
    <s v="E00145"/>
    <s v="Florence"/>
    <s v="Female"/>
    <n v="56"/>
    <s v="Auto Eng"/>
    <x v="0"/>
    <s v="Products"/>
    <d v="2020-01-07T00:00:00"/>
    <m/>
    <n v="914000"/>
    <n v="0"/>
    <x v="1"/>
    <n v="6"/>
    <s v="50-59"/>
  </r>
  <r>
    <s v="E00218"/>
    <s v="Denise"/>
    <s v="Female"/>
    <n v="53"/>
    <s v="Auto Eng"/>
    <x v="0"/>
    <s v="R&amp;D"/>
    <d v="2023-10-07T00:00:00"/>
    <m/>
    <n v="916000"/>
    <n v="0.31"/>
    <x v="1"/>
    <n v="2"/>
    <s v="50-59"/>
  </r>
  <r>
    <s v="E02185"/>
    <s v="Zavier"/>
    <s v="Female"/>
    <n v="47"/>
    <s v="Sr. Manger"/>
    <x v="2"/>
    <s v="R&amp;D"/>
    <d v="2021-10-18T00:00:00"/>
    <m/>
    <n v="918000"/>
    <n v="0"/>
    <x v="1"/>
    <n v="4"/>
    <s v="40-49"/>
  </r>
  <r>
    <s v="E01070"/>
    <s v="Kinslee"/>
    <s v="Male"/>
    <n v="36"/>
    <s v="Sr. Manger"/>
    <x v="3"/>
    <s v="Products"/>
    <d v="2022-08-18T00:00:00"/>
    <m/>
    <n v="920000"/>
    <n v="0.34"/>
    <x v="1"/>
    <n v="3"/>
    <s v="30-39"/>
  </r>
  <r>
    <s v="E03807"/>
    <s v="Peter"/>
    <s v="Female"/>
    <n v="41"/>
    <s v="Sr. Manger"/>
    <x v="4"/>
    <s v="Corporate"/>
    <d v="2024-05-28T00:00:00"/>
    <m/>
    <n v="922000"/>
    <n v="0.15"/>
    <x v="1"/>
    <n v="1"/>
    <s v="40-49"/>
  </r>
  <r>
    <s v="E00784"/>
    <s v="Isabelle"/>
    <s v="Male"/>
    <n v="31"/>
    <s v="Quality Eng"/>
    <x v="0"/>
    <s v="Manufacturing"/>
    <d v="2022-09-07T00:00:00"/>
    <m/>
    <n v="924000"/>
    <n v="0"/>
    <x v="1"/>
    <n v="3"/>
    <s v="30-39"/>
  </r>
  <r>
    <s v="E04925"/>
    <s v="Ricky"/>
    <s v="Female"/>
    <n v="31"/>
    <s v="Sr. Manger"/>
    <x v="3"/>
    <s v="Manufacturing"/>
    <d v="2024-01-03T00:00:00"/>
    <m/>
    <n v="926000"/>
    <n v="0"/>
    <x v="1"/>
    <n v="2"/>
    <s v="30-39"/>
  </r>
  <r>
    <s v="E04448"/>
    <s v="Brooke"/>
    <s v="Male"/>
    <n v="38"/>
    <s v="IT Coord"/>
    <x v="5"/>
    <s v="R&amp;D"/>
    <d v="2023-05-28T00:00:00"/>
    <d v="2024-04-30T00:00:00"/>
    <n v="928000"/>
    <n v="0"/>
    <x v="0"/>
    <n v="0"/>
    <s v="30-39"/>
  </r>
  <r>
    <s v="E04817"/>
    <s v="Nikolai"/>
    <s v="Female"/>
    <n v="31"/>
    <s v="Quality Eng"/>
    <x v="0"/>
    <s v="Products"/>
    <d v="2023-11-15T00:00:00"/>
    <m/>
    <n v="930000"/>
    <n v="0"/>
    <x v="1"/>
    <n v="2"/>
    <s v="30-39"/>
  </r>
  <r>
    <s v="E00325"/>
    <s v="Frances"/>
    <s v="Male"/>
    <n v="39"/>
    <s v="Quality Eng"/>
    <x v="0"/>
    <s v="R&amp;D"/>
    <d v="2020-01-21T00:00:00"/>
    <m/>
    <n v="932000"/>
    <n v="0.39"/>
    <x v="1"/>
    <n v="6"/>
    <s v="30-39"/>
  </r>
  <r>
    <s v="E00403"/>
    <s v="Hassan"/>
    <s v="Female"/>
    <n v="31"/>
    <s v="Ops Eng"/>
    <x v="0"/>
    <s v="Corporate"/>
    <d v="2023-10-07T00:00:00"/>
    <m/>
    <n v="934000"/>
    <n v="0"/>
    <x v="1"/>
    <n v="2"/>
    <s v="30-39"/>
  </r>
  <r>
    <s v="E00436"/>
    <s v="Adaline"/>
    <s v="Male"/>
    <n v="45"/>
    <s v="IT Coord"/>
    <x v="5"/>
    <s v="Products"/>
    <d v="2024-04-19T00:00:00"/>
    <m/>
    <n v="936000"/>
    <n v="0.09"/>
    <x v="1"/>
    <n v="1"/>
    <s v="40-49"/>
  </r>
  <r>
    <s v="E04358"/>
    <s v="Kingsley"/>
    <s v="Female"/>
    <n v="50"/>
    <s v="Ops Eng"/>
    <x v="0"/>
    <s v="R&amp;D"/>
    <d v="2020-09-09T00:00:00"/>
    <m/>
    <n v="938000"/>
    <n v="0"/>
    <x v="1"/>
    <n v="5"/>
    <s v="50-59"/>
  </r>
  <r>
    <s v="E04662"/>
    <s v="Astrid"/>
    <s v="Male"/>
    <n v="36"/>
    <s v="Ops Eng"/>
    <x v="0"/>
    <s v="Manufacturing"/>
    <d v="2023-11-03T00:00:00"/>
    <m/>
    <n v="940000"/>
    <n v="0.11"/>
    <x v="1"/>
    <n v="2"/>
    <s v="30-39"/>
  </r>
  <r>
    <s v="E01496"/>
    <s v="Valentino"/>
    <s v="Male"/>
    <n v="45"/>
    <s v="IT Coord"/>
    <x v="5"/>
    <s v="Manufacturing"/>
    <d v="2024-04-30T00:00:00"/>
    <m/>
    <n v="942000"/>
    <n v="0"/>
    <x v="1"/>
    <n v="1"/>
    <s v="40-49"/>
  </r>
  <r>
    <s v="E01870"/>
    <s v="Alberto"/>
    <s v="Female"/>
    <n v="31"/>
    <s v="Auto Eng"/>
    <x v="0"/>
    <s v="Manufacturing"/>
    <d v="2020-02-26T00:00:00"/>
    <m/>
    <n v="944000"/>
    <n v="0.24"/>
    <x v="1"/>
    <n v="5"/>
    <s v="30-39"/>
  </r>
  <r>
    <s v="E03971"/>
    <s v="Trey"/>
    <s v="Male"/>
    <n v="41"/>
    <s v=" Dev Eng"/>
    <x v="0"/>
    <s v="Manufacturing"/>
    <d v="2022-09-11T00:00:00"/>
    <m/>
    <n v="946000"/>
    <n v="0.1"/>
    <x v="1"/>
    <n v="3"/>
    <s v="40-49"/>
  </r>
  <r>
    <s v="E03616"/>
    <s v="Kaylani"/>
    <s v="Male"/>
    <n v="47"/>
    <s v="Sr. Analyst"/>
    <x v="2"/>
    <s v="Manufacturing"/>
    <d v="2024-05-18T00:00:00"/>
    <m/>
    <n v="948000"/>
    <n v="0.1"/>
    <x v="1"/>
    <n v="1"/>
    <s v="40-49"/>
  </r>
  <r>
    <s v="E00153"/>
    <s v="Devin"/>
    <s v="Male"/>
    <n v="38"/>
    <s v="Quality Eng"/>
    <x v="0"/>
    <s v="Corporate"/>
    <d v="2021-11-09T00:00:00"/>
    <m/>
    <n v="950000"/>
    <n v="0"/>
    <x v="1"/>
    <n v="4"/>
    <s v="30-39"/>
  </r>
  <r>
    <s v="E02313"/>
    <s v="Helena"/>
    <s v="Female"/>
    <n v="40"/>
    <s v="Ops Eng"/>
    <x v="0"/>
    <s v="Products"/>
    <d v="2020-05-12T00:00:00"/>
    <m/>
    <n v="952000"/>
    <n v="0"/>
    <x v="1"/>
    <n v="5"/>
    <s v="40-49"/>
  </r>
  <r>
    <s v="E02960"/>
    <s v="Brycen"/>
    <s v="Male"/>
    <n v="45"/>
    <s v="Field Eng"/>
    <x v="0"/>
    <s v="Manufacturing"/>
    <d v="2022-09-11T00:00:00"/>
    <m/>
    <n v="954000"/>
    <n v="0"/>
    <x v="1"/>
    <n v="3"/>
    <s v="40-49"/>
  </r>
  <r>
    <s v="E00096"/>
    <s v="Averie"/>
    <s v="Female"/>
    <n v="31"/>
    <s v="Sr. Analyst"/>
    <x v="4"/>
    <s v="R&amp;D"/>
    <d v="2022-10-23T00:00:00"/>
    <m/>
    <n v="956000"/>
    <n v="0"/>
    <x v="1"/>
    <n v="3"/>
    <s v="30-39"/>
  </r>
  <r>
    <s v="E02140"/>
    <s v="Colter"/>
    <s v="Male"/>
    <n v="35"/>
    <s v="Net Admin"/>
    <x v="5"/>
    <s v="Manufacturing"/>
    <d v="2024-08-23T00:00:00"/>
    <m/>
    <n v="958000"/>
    <n v="0.32"/>
    <x v="1"/>
    <n v="1"/>
    <s v="30-39"/>
  </r>
  <r>
    <s v="E00826"/>
    <s v="Martha"/>
    <s v="Female"/>
    <n v="31"/>
    <s v="Sr. Analyst"/>
    <x v="3"/>
    <s v="Products"/>
    <d v="2023-11-07T00:00:00"/>
    <m/>
    <n v="960000"/>
    <n v="0"/>
    <x v="1"/>
    <n v="2"/>
    <s v="30-39"/>
  </r>
  <r>
    <s v="E03881"/>
    <s v="Zyair"/>
    <s v="Female"/>
    <n v="35"/>
    <s v=" Dev Eng"/>
    <x v="0"/>
    <s v="R&amp;D"/>
    <d v="2023-10-07T00:00:00"/>
    <d v="2024-02-15T00:00:00"/>
    <n v="962000"/>
    <n v="0"/>
    <x v="0"/>
    <n v="0"/>
    <s v="30-39"/>
  </r>
  <r>
    <s v="E02604"/>
    <s v="Angelina"/>
    <s v="Female"/>
    <n v="31"/>
    <s v="Net Admin"/>
    <x v="5"/>
    <s v="R&amp;D"/>
    <d v="2022-04-26T00:00:00"/>
    <m/>
    <n v="964000"/>
    <n v="0.11"/>
    <x v="1"/>
    <n v="3"/>
    <s v="30-39"/>
  </r>
  <r>
    <s v="E02613"/>
    <s v="Elaine"/>
    <s v="Female"/>
    <n v="31"/>
    <s v="Field Eng"/>
    <x v="0"/>
    <s v="Corporate"/>
    <d v="2020-02-28T00:00:00"/>
    <m/>
    <n v="966000"/>
    <n v="0"/>
    <x v="1"/>
    <n v="5"/>
    <s v="30-39"/>
  </r>
  <r>
    <s v="E00864"/>
    <s v="Samson"/>
    <s v="Female"/>
    <n v="31"/>
    <s v="Auto Eng"/>
    <x v="0"/>
    <s v="Corporate"/>
    <d v="2020-10-12T00:00:00"/>
    <m/>
    <n v="968000"/>
    <n v="0.06"/>
    <x v="1"/>
    <n v="5"/>
    <s v="30-39"/>
  </r>
  <r>
    <s v="E01760"/>
    <s v="Noor"/>
    <s v="Female"/>
    <n v="31"/>
    <s v=" Dev Eng"/>
    <x v="0"/>
    <s v="Products"/>
    <d v="2022-01-27T00:00:00"/>
    <m/>
    <n v="970000"/>
    <n v="0"/>
    <x v="1"/>
    <n v="4"/>
    <s v="30-39"/>
  </r>
  <r>
    <s v="E03223"/>
    <s v="Jacoby"/>
    <s v="Female"/>
    <n v="36"/>
    <s v="Sr. Acc Rep"/>
    <x v="1"/>
    <s v="Corporate"/>
    <d v="2024-02-15T00:00:00"/>
    <m/>
    <n v="972000"/>
    <n v="0"/>
    <x v="1"/>
    <n v="1"/>
    <s v="30-39"/>
  </r>
  <r>
    <s v="E01262"/>
    <s v="Selena"/>
    <s v="Male"/>
    <n v="45"/>
    <s v="Field Eng"/>
    <x v="0"/>
    <s v="Products"/>
    <d v="2024-02-10T00:00:00"/>
    <m/>
    <n v="974000"/>
    <n v="7.0000000000000007E-2"/>
    <x v="1"/>
    <n v="2"/>
    <s v="40-49"/>
  </r>
  <r>
    <s v="E01075"/>
    <s v="Harley"/>
    <s v="Female"/>
    <n v="37"/>
    <s v="Sr. Acc Rep"/>
    <x v="1"/>
    <s v="R&amp;D"/>
    <d v="2020-12-18T00:00:00"/>
    <m/>
    <n v="976000"/>
    <n v="0"/>
    <x v="1"/>
    <n v="5"/>
    <s v="30-39"/>
  </r>
  <r>
    <s v="E00364"/>
    <s v="Casen"/>
    <s v="Female"/>
    <n v="38"/>
    <s v="Auto Eng"/>
    <x v="0"/>
    <s v="Products"/>
    <d v="2020-01-07T00:00:00"/>
    <m/>
    <n v="978000"/>
    <n v="0.3"/>
    <x v="1"/>
    <n v="6"/>
    <s v="30-39"/>
  </r>
  <r>
    <s v="E04108"/>
    <s v="Miranda"/>
    <s v="Female"/>
    <n v="45"/>
    <s v="Auto Eng"/>
    <x v="0"/>
    <s v="R&amp;D"/>
    <d v="2023-10-07T00:00:00"/>
    <m/>
    <n v="980000"/>
    <n v="0"/>
    <x v="1"/>
    <n v="2"/>
    <s v="40-49"/>
  </r>
  <r>
    <s v="E02917"/>
    <s v="Aldo"/>
    <s v="Female"/>
    <n v="51"/>
    <s v="Sr. Manger"/>
    <x v="2"/>
    <s v="R&amp;D"/>
    <d v="2021-10-18T00:00:00"/>
    <m/>
    <n v="982000"/>
    <n v="0"/>
    <x v="1"/>
    <n v="4"/>
    <s v="50-59"/>
  </r>
  <r>
    <s v="E03720"/>
    <s v="Camilla"/>
    <s v="Male"/>
    <n v="56"/>
    <s v="Sr. Manger"/>
    <x v="3"/>
    <s v="Products"/>
    <d v="2022-08-18T00:00:00"/>
    <m/>
    <n v="984000"/>
    <n v="0.05"/>
    <x v="1"/>
    <n v="3"/>
    <s v="50-59"/>
  </r>
  <r>
    <s v="E03393"/>
    <s v="Zahir"/>
    <s v="Male"/>
    <n v="53"/>
    <s v="Sr. Manger"/>
    <x v="4"/>
    <s v="Corporate"/>
    <d v="2024-05-28T00:00:00"/>
    <m/>
    <n v="986000"/>
    <n v="0.15"/>
    <x v="1"/>
    <n v="1"/>
    <s v="50-59"/>
  </r>
  <r>
    <s v="E02977"/>
    <s v="Zane"/>
    <s v="Female"/>
    <n v="47"/>
    <s v="Quality Eng"/>
    <x v="0"/>
    <s v="Manufacturing"/>
    <d v="2022-09-07T00:00:00"/>
    <d v="2024-01-03T00:00:00"/>
    <n v="988000"/>
    <n v="0"/>
    <x v="0"/>
    <n v="1"/>
    <s v="40-49"/>
  </r>
  <r>
    <s v="E03371"/>
    <s v="Melissa"/>
    <s v="Male"/>
    <n v="36"/>
    <s v="Sr. Manger"/>
    <x v="3"/>
    <s v="Manufacturing"/>
    <d v="2024-01-03T00:00:00"/>
    <m/>
    <n v="990000"/>
    <n v="0.36"/>
    <x v="1"/>
    <n v="2"/>
    <s v="30-39"/>
  </r>
  <r>
    <s v="E02531"/>
    <s v="Vienna"/>
    <s v="Female"/>
    <n v="41"/>
    <s v="IT Coord"/>
    <x v="5"/>
    <s v="R&amp;D"/>
    <d v="2023-05-28T00:00:00"/>
    <m/>
    <n v="992000"/>
    <n v="0"/>
    <x v="1"/>
    <n v="2"/>
    <s v="40-49"/>
  </r>
  <r>
    <s v="E02473"/>
    <s v="Raymond"/>
    <s v="Female"/>
    <n v="31"/>
    <s v="Quality Eng"/>
    <x v="0"/>
    <s v="Products"/>
    <d v="2023-11-15T00:00:00"/>
    <m/>
    <n v="994000"/>
    <n v="0"/>
    <x v="1"/>
    <n v="2"/>
    <s v="30-39"/>
  </r>
  <r>
    <s v="E02468"/>
    <s v="Bruce"/>
    <s v="Female"/>
    <n v="31"/>
    <s v="Quality Eng"/>
    <x v="0"/>
    <s v="R&amp;D"/>
    <d v="2020-01-21T00:00:00"/>
    <m/>
    <n v="996000"/>
    <n v="0.31"/>
    <x v="1"/>
    <n v="6"/>
    <s v="30-39"/>
  </r>
  <r>
    <s v="E01499"/>
    <s v="Angelica"/>
    <s v="Male"/>
    <n v="38"/>
    <s v="Ops Eng"/>
    <x v="0"/>
    <s v="Corporate"/>
    <d v="2023-10-07T00:00:00"/>
    <m/>
    <n v="998000"/>
    <n v="0.09"/>
    <x v="1"/>
    <n v="2"/>
    <s v="30-39"/>
  </r>
  <r>
    <s v="E03697"/>
    <s v="Rayden"/>
    <s v="Female"/>
    <n v="31"/>
    <s v="IT Coord"/>
    <x v="5"/>
    <s v="Products"/>
    <d v="2024-04-19T00:00:00"/>
    <m/>
    <n v="1000000"/>
    <n v="0.1"/>
    <x v="1"/>
    <n v="1"/>
    <s v="30-39"/>
  </r>
  <r>
    <s v="E00593"/>
    <s v="Vera"/>
    <s v="Male"/>
    <n v="39"/>
    <s v="Ops Eng"/>
    <x v="0"/>
    <s v="R&amp;D"/>
    <d v="2020-09-09T00:00:00"/>
    <m/>
    <n v="1002000"/>
    <n v="0"/>
    <x v="1"/>
    <n v="5"/>
    <s v="30-39"/>
  </r>
  <r>
    <s v="E01103"/>
    <s v="Artemis"/>
    <s v="Female"/>
    <n v="31"/>
    <s v="Ops Eng"/>
    <x v="0"/>
    <s v="Manufacturing"/>
    <d v="2023-11-03T00:00:00"/>
    <m/>
    <n v="1004000"/>
    <n v="0"/>
    <x v="1"/>
    <n v="2"/>
    <s v="30-39"/>
  </r>
  <r>
    <s v="E03889"/>
    <s v="Saul"/>
    <s v="Male"/>
    <n v="45"/>
    <s v="IT Coord"/>
    <x v="5"/>
    <s v="Manufacturing"/>
    <d v="2024-04-30T00:00:00"/>
    <m/>
    <n v="1006000"/>
    <n v="0.06"/>
    <x v="1"/>
    <n v="1"/>
    <s v="40-49"/>
  </r>
  <r>
    <s v="E01958"/>
    <s v="Kori"/>
    <s v="Male"/>
    <n v="50"/>
    <s v="Auto Eng"/>
    <x v="0"/>
    <s v="Manufacturing"/>
    <d v="2020-02-26T00:00:00"/>
    <m/>
    <n v="1008000"/>
    <n v="0"/>
    <x v="1"/>
    <n v="5"/>
    <s v="50-59"/>
  </r>
  <r>
    <s v="E01870"/>
    <s v="Pearl"/>
    <s v="Male"/>
    <n v="36"/>
    <s v=" Dev Eng"/>
    <x v="0"/>
    <s v="Manufacturing"/>
    <d v="2022-09-11T00:00:00"/>
    <m/>
    <n v="1010000"/>
    <n v="0.09"/>
    <x v="1"/>
    <n v="3"/>
    <s v="30-39"/>
  </r>
  <r>
    <s v="E01167"/>
    <s v="Wayne"/>
    <s v="Male"/>
    <n v="45"/>
    <s v="Sr. Analyst"/>
    <x v="2"/>
    <s v="Manufacturing"/>
    <d v="2024-05-18T00:00:00"/>
    <m/>
    <n v="1012000"/>
    <n v="0"/>
    <x v="1"/>
    <n v="1"/>
    <s v="40-49"/>
  </r>
  <r>
    <s v="E00099"/>
    <s v="Fatima"/>
    <s v="Female"/>
    <n v="31"/>
    <s v="Quality Eng"/>
    <x v="0"/>
    <s v="Corporate"/>
    <d v="2021-11-09T00:00:00"/>
    <m/>
    <n v="1014000"/>
    <n v="0"/>
    <x v="1"/>
    <n v="4"/>
    <s v="30-39"/>
  </r>
  <r>
    <s v="E00044"/>
    <s v="Pablo"/>
    <s v="Male"/>
    <n v="41"/>
    <s v="Ops Eng"/>
    <x v="0"/>
    <s v="Products"/>
    <d v="2020-05-12T00:00:00"/>
    <m/>
    <n v="1016000"/>
    <n v="0.32"/>
    <x v="1"/>
    <n v="5"/>
    <s v="40-49"/>
  </r>
  <r>
    <s v="E00711"/>
    <s v="Rosalyn"/>
    <s v="Female"/>
    <n v="47"/>
    <s v="Field Eng"/>
    <x v="0"/>
    <s v="Manufacturing"/>
    <d v="2022-09-11T00:00:00"/>
    <m/>
    <n v="1018000"/>
    <n v="0.11"/>
    <x v="1"/>
    <n v="3"/>
    <s v="40-49"/>
  </r>
  <r>
    <s v="E04795"/>
    <s v="Yehuda"/>
    <s v="Male"/>
    <n v="38"/>
    <s v="Sr. Analyst"/>
    <x v="4"/>
    <s v="R&amp;D"/>
    <d v="2022-10-23T00:00:00"/>
    <m/>
    <n v="1020000"/>
    <n v="0.3"/>
    <x v="1"/>
    <n v="3"/>
    <s v="30-39"/>
  </r>
  <r>
    <s v="E03912"/>
    <s v="Malaysia"/>
    <s v="Female"/>
    <n v="40"/>
    <s v="Net Admin"/>
    <x v="5"/>
    <s v="Manufacturing"/>
    <d v="2024-08-23T00:00:00"/>
    <m/>
    <n v="1022000"/>
    <n v="0"/>
    <x v="1"/>
    <n v="1"/>
    <s v="40-49"/>
  </r>
  <r>
    <s v="E02103"/>
    <s v="Omari"/>
    <s v="Male"/>
    <n v="45"/>
    <s v="Sr. Analyst"/>
    <x v="3"/>
    <s v="Products"/>
    <d v="2023-11-07T00:00:00"/>
    <m/>
    <n v="1024000"/>
    <n v="0"/>
    <x v="1"/>
    <n v="2"/>
    <s v="40-49"/>
  </r>
  <r>
    <s v="E04213"/>
    <s v="Paislee"/>
    <s v="Female"/>
    <n v="31"/>
    <s v=" Dev Eng"/>
    <x v="0"/>
    <s v="R&amp;D"/>
    <d v="2023-10-07T00:00:00"/>
    <m/>
    <n v="1026000"/>
    <n v="0.08"/>
    <x v="1"/>
    <n v="2"/>
    <s v="30-39"/>
  </r>
  <r>
    <s v="E04756"/>
    <s v="Kieran"/>
    <s v="Female"/>
    <n v="35"/>
    <s v="Net Admin"/>
    <x v="5"/>
    <s v="R&amp;D"/>
    <d v="2022-04-26T00:00:00"/>
    <m/>
    <n v="1028000"/>
    <n v="0"/>
    <x v="1"/>
    <n v="3"/>
    <s v="30-39"/>
  </r>
  <r>
    <s v="E04114"/>
    <s v="Khalani"/>
    <s v="Female"/>
    <n v="31"/>
    <s v="Field Eng"/>
    <x v="0"/>
    <s v="Corporate"/>
    <d v="2020-02-28T00:00:00"/>
    <m/>
    <n v="1030000"/>
    <n v="0.24"/>
    <x v="1"/>
    <n v="5"/>
    <s v="30-39"/>
  </r>
  <r>
    <s v="E01423"/>
    <s v="Mac"/>
    <s v="Male"/>
    <n v="35"/>
    <s v="Auto Eng"/>
    <x v="0"/>
    <s v="Corporate"/>
    <d v="2020-10-12T00:00:00"/>
    <m/>
    <n v="1032000"/>
    <n v="0.33"/>
    <x v="1"/>
    <n v="5"/>
    <s v="30-39"/>
  </r>
  <r>
    <s v="E03181"/>
    <s v="Lacey"/>
    <s v="Female"/>
    <n v="31"/>
    <s v=" Dev Eng"/>
    <x v="0"/>
    <s v="Products"/>
    <d v="2022-01-27T00:00:00"/>
    <m/>
    <n v="1034000"/>
    <n v="0"/>
    <x v="1"/>
    <n v="4"/>
    <s v="30-39"/>
  </r>
  <r>
    <s v="E03305"/>
    <s v="Alvaro"/>
    <s v="Male"/>
    <n v="31"/>
    <s v="Sr. Acc Rep"/>
    <x v="1"/>
    <s v="Corporate"/>
    <d v="2024-02-15T00:00:00"/>
    <m/>
    <n v="1036000"/>
    <n v="7.0000000000000007E-2"/>
    <x v="1"/>
    <n v="1"/>
    <s v="30-39"/>
  </r>
  <r>
    <s v="E00703"/>
    <s v="Rocco"/>
    <s v="Female"/>
    <n v="31"/>
    <s v="Field Eng"/>
    <x v="0"/>
    <s v="Products"/>
    <d v="2024-02-10T00:00:00"/>
    <m/>
    <n v="1038000"/>
    <n v="0.12"/>
    <x v="1"/>
    <n v="2"/>
    <s v="30-39"/>
  </r>
  <r>
    <s v="E04403"/>
    <s v="Saige"/>
    <s v="Female"/>
    <n v="31"/>
    <s v="Sr. Acc Rep"/>
    <x v="1"/>
    <s v="R&amp;D"/>
    <d v="2020-12-18T00:00:00"/>
    <m/>
    <n v="1040000"/>
    <n v="7.0000000000000007E-2"/>
    <x v="1"/>
    <n v="5"/>
    <s v="30-39"/>
  </r>
  <r>
    <s v="E00103"/>
    <s v="Zeke"/>
    <s v="Female"/>
    <n v="36"/>
    <s v="Auto Eng"/>
    <x v="0"/>
    <s v="Products"/>
    <d v="2020-01-07T00:00:00"/>
    <m/>
    <n v="1042000"/>
    <n v="0.2"/>
    <x v="1"/>
    <n v="6"/>
    <s v="30-39"/>
  </r>
  <r>
    <s v="E04487"/>
    <s v="Iliana"/>
    <s v="Female"/>
    <n v="45"/>
    <s v="Auto Eng"/>
    <x v="0"/>
    <s v="R&amp;D"/>
    <d v="2023-10-07T00:00:00"/>
    <m/>
    <n v="1044000"/>
    <n v="0"/>
    <x v="1"/>
    <n v="2"/>
    <s v="40-49"/>
  </r>
  <r>
    <s v="E01194"/>
    <s v="Antonio"/>
    <s v="Female"/>
    <n v="37"/>
    <s v="Sr. Manger"/>
    <x v="2"/>
    <s v="R&amp;D"/>
    <d v="2021-10-18T00:00:00"/>
    <m/>
    <n v="1046000"/>
    <n v="0"/>
    <x v="1"/>
    <n v="4"/>
    <s v="30-39"/>
  </r>
  <r>
    <s v="E02179"/>
    <s v="Saoirse"/>
    <s v="Female"/>
    <n v="38"/>
    <s v="Sr. Manger"/>
    <x v="3"/>
    <s v="Products"/>
    <d v="2022-08-18T00:00:00"/>
    <m/>
    <n v="1048000"/>
    <n v="0"/>
    <x v="1"/>
    <n v="3"/>
    <s v="30-39"/>
  </r>
  <r>
    <s v="E04242"/>
    <s v="Houston"/>
    <s v="Male"/>
    <n v="45"/>
    <s v="Sr. Manger"/>
    <x v="4"/>
    <s v="Corporate"/>
    <d v="2024-05-28T00:00:00"/>
    <m/>
    <n v="1050000"/>
    <n v="0"/>
    <x v="1"/>
    <n v="1"/>
    <s v="40-49"/>
  </r>
  <r>
    <s v="E01371"/>
    <s v="Haley"/>
    <s v="Female"/>
    <n v="51"/>
    <s v="Quality Eng"/>
    <x v="0"/>
    <s v="Manufacturing"/>
    <d v="2022-09-07T00:00:00"/>
    <m/>
    <n v="1052000"/>
    <n v="0.35"/>
    <x v="1"/>
    <n v="3"/>
    <s v="50-59"/>
  </r>
  <r>
    <s v="E03065"/>
    <s v="Promise"/>
    <s v="Male"/>
    <n v="56"/>
    <s v="Sr. Manger"/>
    <x v="3"/>
    <s v="Manufacturing"/>
    <d v="2024-01-03T00:00:00"/>
    <m/>
    <n v="1054000"/>
    <n v="0"/>
    <x v="1"/>
    <n v="2"/>
    <s v="50-59"/>
  </r>
  <r>
    <s v="E01377"/>
    <s v="Lauren"/>
    <s v="Female"/>
    <n v="53"/>
    <s v="IT Coord"/>
    <x v="5"/>
    <s v="R&amp;D"/>
    <d v="2023-05-28T00:00:00"/>
    <m/>
    <n v="1056000"/>
    <n v="0"/>
    <x v="1"/>
    <n v="2"/>
    <s v="50-59"/>
  </r>
  <r>
    <s v="E03097"/>
    <s v="Bellamy"/>
    <s v="Male"/>
    <n v="47"/>
    <s v="Quality Eng"/>
    <x v="0"/>
    <s v="Products"/>
    <d v="2023-11-15T00:00:00"/>
    <m/>
    <n v="1058000"/>
    <n v="0"/>
    <x v="1"/>
    <n v="2"/>
    <s v="40-49"/>
  </r>
  <r>
    <s v="E01668"/>
    <s v="Lilian"/>
    <s v="Male"/>
    <n v="36"/>
    <s v="Quality Eng"/>
    <x v="0"/>
    <s v="R&amp;D"/>
    <d v="2020-01-21T00:00:00"/>
    <m/>
    <n v="1060000"/>
    <n v="0.2"/>
    <x v="1"/>
    <n v="6"/>
    <s v="30-39"/>
  </r>
  <r>
    <s v="E03354"/>
    <s v="Seth"/>
    <s v="Male"/>
    <n v="41"/>
    <s v="Ops Eng"/>
    <x v="0"/>
    <s v="Corporate"/>
    <d v="2023-10-07T00:00:00"/>
    <m/>
    <n v="1062000"/>
    <n v="0"/>
    <x v="1"/>
    <n v="2"/>
    <s v="40-49"/>
  </r>
  <r>
    <s v="E02088"/>
    <s v="Josie"/>
    <s v="Female"/>
    <n v="31"/>
    <s v="IT Coord"/>
    <x v="5"/>
    <s v="Products"/>
    <d v="2024-04-19T00:00:00"/>
    <m/>
    <n v="1064000"/>
    <n v="0.12"/>
    <x v="1"/>
    <n v="1"/>
    <s v="30-39"/>
  </r>
  <r>
    <s v="E03980"/>
    <s v="Makenzie"/>
    <s v="Female"/>
    <n v="31"/>
    <s v="Ops Eng"/>
    <x v="0"/>
    <s v="R&amp;D"/>
    <d v="2020-09-09T00:00:00"/>
    <m/>
    <n v="1066000"/>
    <n v="0"/>
    <x v="1"/>
    <n v="5"/>
    <s v="30-39"/>
  </r>
  <r>
    <s v="E00972"/>
    <s v="Romina"/>
    <s v="Female"/>
    <n v="38"/>
    <s v="Ops Eng"/>
    <x v="0"/>
    <s v="Manufacturing"/>
    <d v="2023-11-03T00:00:00"/>
    <m/>
    <n v="1068000"/>
    <n v="0"/>
    <x v="1"/>
    <n v="2"/>
    <s v="30-39"/>
  </r>
  <r>
    <s v="E00824"/>
    <s v="Arturo"/>
    <s v="Female"/>
    <n v="31"/>
    <s v="IT Coord"/>
    <x v="5"/>
    <s v="Manufacturing"/>
    <d v="2024-04-30T00:00:00"/>
    <m/>
    <n v="1070000"/>
    <n v="0"/>
    <x v="1"/>
    <n v="1"/>
    <s v="30-39"/>
  </r>
  <r>
    <s v="E04359"/>
    <s v="Della"/>
    <s v="Male"/>
    <n v="39"/>
    <s v="Auto Eng"/>
    <x v="0"/>
    <s v="Manufacturing"/>
    <d v="2020-02-26T00:00:00"/>
    <m/>
    <n v="1072000"/>
    <n v="0"/>
    <x v="1"/>
    <n v="5"/>
    <s v="30-39"/>
  </r>
  <r>
    <s v="E03113"/>
    <s v="Mack"/>
    <s v="Male"/>
    <n v="31"/>
    <s v=" Dev Eng"/>
    <x v="0"/>
    <s v="Manufacturing"/>
    <d v="2022-09-11T00:00:00"/>
    <m/>
    <n v="1074000"/>
    <n v="0.08"/>
    <x v="1"/>
    <n v="3"/>
    <s v="30-39"/>
  </r>
  <r>
    <s v="E01488"/>
    <s v="Bowen"/>
    <s v="Male"/>
    <n v="45"/>
    <s v="Sr. Analyst"/>
    <x v="2"/>
    <s v="Manufacturing"/>
    <d v="2024-05-18T00:00:00"/>
    <m/>
    <n v="1076000"/>
    <n v="0.26"/>
    <x v="1"/>
    <n v="1"/>
    <s v="40-49"/>
  </r>
  <r>
    <s v="E01787"/>
    <s v="Cannon"/>
    <s v="Male"/>
    <n v="50"/>
    <s v="Quality Eng"/>
    <x v="0"/>
    <s v="Corporate"/>
    <d v="2021-11-09T00:00:00"/>
    <m/>
    <n v="1078000"/>
    <n v="0.17"/>
    <x v="1"/>
    <n v="4"/>
    <s v="50-59"/>
  </r>
  <r>
    <s v="E03550"/>
    <s v="Paloma"/>
    <s v="Male"/>
    <n v="36"/>
    <s v="Ops Eng"/>
    <x v="0"/>
    <s v="Products"/>
    <d v="2020-05-12T00:00:00"/>
    <m/>
    <n v="1080000"/>
    <n v="0.14000000000000001"/>
    <x v="1"/>
    <n v="5"/>
    <s v="30-39"/>
  </r>
  <r>
    <s v="E01052"/>
    <s v="Holland"/>
    <s v="Female"/>
    <n v="45"/>
    <s v="Field Eng"/>
    <x v="0"/>
    <s v="Manufacturing"/>
    <d v="2022-09-11T00:00:00"/>
    <m/>
    <n v="1082000"/>
    <n v="0"/>
    <x v="1"/>
    <n v="3"/>
    <s v="40-49"/>
  </r>
  <r>
    <s v="E04799"/>
    <s v="Tristen"/>
    <s v="Male"/>
    <n v="31"/>
    <s v="Sr. Analyst"/>
    <x v="4"/>
    <s v="R&amp;D"/>
    <d v="2022-10-23T00:00:00"/>
    <m/>
    <n v="1084000"/>
    <n v="0"/>
    <x v="1"/>
    <n v="3"/>
    <s v="30-39"/>
  </r>
  <r>
    <s v="E03402"/>
    <s v="Sky"/>
    <s v="Female"/>
    <n v="41"/>
    <s v="Net Admin"/>
    <x v="5"/>
    <s v="Manufacturing"/>
    <d v="2024-08-23T00:00:00"/>
    <m/>
    <n v="1086000"/>
    <n v="0"/>
    <x v="1"/>
    <n v="1"/>
    <s v="40-49"/>
  </r>
  <r>
    <s v="E04128"/>
    <s v="Annabella"/>
    <s v="Male"/>
    <n v="47"/>
    <s v="Sr. Analyst"/>
    <x v="3"/>
    <s v="Products"/>
    <d v="2023-11-07T00:00:00"/>
    <m/>
    <n v="1088000"/>
    <n v="0"/>
    <x v="1"/>
    <n v="2"/>
    <s v="40-49"/>
  </r>
  <r>
    <s v="E00013"/>
    <s v="Izaiah"/>
    <s v="Male"/>
    <n v="38"/>
    <s v=" Dev Eng"/>
    <x v="0"/>
    <s v="R&amp;D"/>
    <d v="2023-10-07T00:00:00"/>
    <m/>
    <n v="1090000"/>
    <n v="0"/>
    <x v="1"/>
    <n v="2"/>
    <s v="30-39"/>
  </r>
  <r>
    <s v="E03114"/>
    <s v="Rowen"/>
    <s v="Female"/>
    <n v="40"/>
    <s v="Net Admin"/>
    <x v="5"/>
    <s v="R&amp;D"/>
    <d v="2022-04-26T00:00:00"/>
    <m/>
    <n v="1092000"/>
    <n v="0"/>
    <x v="1"/>
    <n v="3"/>
    <s v="40-49"/>
  </r>
  <r>
    <s v="E04004"/>
    <s v="Elliot"/>
    <s v="Male"/>
    <n v="45"/>
    <s v="Field Eng"/>
    <x v="0"/>
    <s v="Corporate"/>
    <d v="2020-02-28T00:00:00"/>
    <m/>
    <n v="1094000"/>
    <n v="0"/>
    <x v="1"/>
    <n v="5"/>
    <s v="40-49"/>
  </r>
  <r>
    <s v="E04472"/>
    <s v="Wes"/>
    <s v="Male"/>
    <n v="31"/>
    <s v="Auto Eng"/>
    <x v="0"/>
    <s v="Corporate"/>
    <d v="2020-10-12T00:00:00"/>
    <m/>
    <n v="1096000"/>
    <n v="0"/>
    <x v="1"/>
    <n v="5"/>
    <s v="30-39"/>
  </r>
  <r>
    <s v="E00161"/>
    <s v="Giana"/>
    <s v="Male"/>
    <n v="35"/>
    <s v=" Dev Eng"/>
    <x v="0"/>
    <s v="Products"/>
    <d v="2022-01-27T00:00:00"/>
    <m/>
    <n v="1098000"/>
    <n v="0.37"/>
    <x v="1"/>
    <n v="4"/>
    <s v="30-39"/>
  </r>
  <r>
    <s v="E04417"/>
    <s v="Dayton"/>
    <s v="Male"/>
    <n v="31"/>
    <s v="Sr. Acc Rep"/>
    <x v="1"/>
    <s v="Corporate"/>
    <d v="2024-02-15T00:00:00"/>
    <m/>
    <n v="1100000"/>
    <n v="0.14000000000000001"/>
    <x v="1"/>
    <n v="1"/>
    <s v="30-39"/>
  </r>
  <r>
    <s v="E04536"/>
    <s v="Emilio"/>
    <s v="Female"/>
    <n v="35"/>
    <s v="Field Eng"/>
    <x v="0"/>
    <s v="Products"/>
    <d v="2024-02-10T00:00:00"/>
    <m/>
    <n v="1102000"/>
    <n v="0.12"/>
    <x v="1"/>
    <n v="2"/>
    <s v="30-39"/>
  </r>
  <r>
    <s v="E02534"/>
    <s v="Sarai"/>
    <s v="Male"/>
    <n v="31"/>
    <s v="Sr. Acc Rep"/>
    <x v="1"/>
    <s v="R&amp;D"/>
    <d v="2020-12-18T00:00:00"/>
    <m/>
    <n v="1104000"/>
    <n v="0.28000000000000003"/>
    <x v="1"/>
    <n v="5"/>
    <s v="30-39"/>
  </r>
  <r>
    <s v="E02857"/>
    <s v="Paige"/>
    <s v="Female"/>
    <n v="26"/>
    <s v="Auto Eng"/>
    <x v="0"/>
    <s v="Products"/>
    <d v="2020-01-07T00:00:00"/>
    <d v="2024-02-10T00:00:00"/>
    <n v="1106000"/>
    <n v="0.15"/>
    <x v="0"/>
    <n v="4"/>
    <s v="20-29"/>
  </r>
  <r>
    <s v="E03059"/>
    <s v="Dane"/>
    <s v="Female"/>
    <n v="31"/>
    <s v="Auto Eng"/>
    <x v="0"/>
    <s v="R&amp;D"/>
    <d v="2023-10-07T00:00:00"/>
    <m/>
    <n v="1108000"/>
    <n v="0.06"/>
    <x v="1"/>
    <n v="2"/>
    <s v="30-39"/>
  </r>
  <r>
    <s v="E02477"/>
    <s v="Zoya"/>
    <s v="Female"/>
    <n v="31"/>
    <s v="Sr. Manger"/>
    <x v="2"/>
    <s v="R&amp;D"/>
    <d v="2021-10-18T00:00:00"/>
    <m/>
    <n v="1110000"/>
    <n v="0.16"/>
    <x v="1"/>
    <n v="4"/>
    <s v="30-39"/>
  </r>
  <r>
    <s v="E00022"/>
    <s v="Jasper"/>
    <s v="Female"/>
    <n v="36"/>
    <s v="Sr. Manger"/>
    <x v="3"/>
    <s v="Products"/>
    <d v="2022-08-18T00:00:00"/>
    <m/>
    <n v="1112000"/>
    <n v="0"/>
    <x v="1"/>
    <n v="3"/>
    <s v="30-39"/>
  </r>
  <r>
    <s v="E03370"/>
    <s v="Hadassah"/>
    <s v="Female"/>
    <n v="45"/>
    <s v="Sr. Manger"/>
    <x v="4"/>
    <s v="Corporate"/>
    <d v="2024-05-28T00:00:00"/>
    <m/>
    <n v="1114000"/>
    <n v="0"/>
    <x v="1"/>
    <n v="1"/>
    <s v="40-49"/>
  </r>
  <r>
    <s v="E00555"/>
    <s v="Rocky"/>
    <s v="Male"/>
    <n v="37"/>
    <s v="Quality Eng"/>
    <x v="0"/>
    <s v="Manufacturing"/>
    <d v="2022-09-07T00:00:00"/>
    <m/>
    <n v="1116000"/>
    <n v="0"/>
    <x v="1"/>
    <n v="3"/>
    <s v="30-39"/>
  </r>
  <r>
    <s v="E03160"/>
    <s v="Addyson"/>
    <s v="Female"/>
    <n v="38"/>
    <s v="Sr. Manger"/>
    <x v="3"/>
    <s v="Manufacturing"/>
    <d v="2024-01-03T00:00:00"/>
    <m/>
    <n v="1118000"/>
    <n v="0"/>
    <x v="1"/>
    <n v="2"/>
    <s v="30-39"/>
  </r>
  <r>
    <s v="E03919"/>
    <s v="Edgar"/>
    <s v="Male"/>
    <n v="45"/>
    <s v="IT Coord"/>
    <x v="5"/>
    <s v="R&amp;D"/>
    <d v="2023-05-28T00:00:00"/>
    <m/>
    <n v="1120000"/>
    <n v="0.14000000000000001"/>
    <x v="1"/>
    <n v="2"/>
    <s v="40-49"/>
  </r>
  <r>
    <s v="E01724"/>
    <s v="Ariya"/>
    <s v="Female"/>
    <n v="51"/>
    <s v="Quality Eng"/>
    <x v="0"/>
    <s v="Products"/>
    <d v="2023-11-15T00:00:00"/>
    <m/>
    <n v="1122000"/>
    <n v="7.0000000000000007E-2"/>
    <x v="1"/>
    <n v="2"/>
    <s v="50-59"/>
  </r>
  <r>
    <s v="E04087"/>
    <s v="Daxton"/>
    <s v="Male"/>
    <n v="56"/>
    <s v="Quality Eng"/>
    <x v="0"/>
    <s v="R&amp;D"/>
    <d v="2020-01-21T00:00:00"/>
    <m/>
    <n v="1124000"/>
    <n v="7.0000000000000007E-2"/>
    <x v="1"/>
    <n v="6"/>
    <s v="50-59"/>
  </r>
  <r>
    <s v="E02856"/>
    <s v="Noelle"/>
    <s v="Male"/>
    <n v="53"/>
    <s v="Ops Eng"/>
    <x v="0"/>
    <s v="Corporate"/>
    <d v="2023-10-07T00:00:00"/>
    <m/>
    <n v="1126000"/>
    <n v="0"/>
    <x v="1"/>
    <n v="2"/>
    <s v="50-59"/>
  </r>
  <r>
    <s v="E03805"/>
    <s v="Travis"/>
    <s v="Male"/>
    <n v="47"/>
    <s v="IT Coord"/>
    <x v="5"/>
    <s v="Products"/>
    <d v="2024-04-19T00:00:00"/>
    <m/>
    <n v="1128000"/>
    <n v="0"/>
    <x v="1"/>
    <n v="1"/>
    <s v="40-49"/>
  </r>
  <r>
    <s v="E00319"/>
    <s v="Itzel"/>
    <s v="Female"/>
    <n v="36"/>
    <s v="Ops Eng"/>
    <x v="0"/>
    <s v="R&amp;D"/>
    <d v="2020-09-09T00:00:00"/>
    <m/>
    <n v="1130000"/>
    <n v="0"/>
    <x v="1"/>
    <n v="5"/>
    <s v="30-39"/>
  </r>
  <r>
    <s v="E01090"/>
    <s v="Stefan"/>
    <s v="Male"/>
    <n v="41"/>
    <s v="Ops Eng"/>
    <x v="0"/>
    <s v="Manufacturing"/>
    <d v="2023-11-03T00:00:00"/>
    <m/>
    <n v="1132000"/>
    <n v="0"/>
    <x v="1"/>
    <n v="2"/>
    <s v="40-49"/>
  </r>
  <r>
    <s v="E04323"/>
    <s v="Pedro"/>
    <s v="Female"/>
    <n v="30"/>
    <s v="IT Coord"/>
    <x v="5"/>
    <s v="Manufacturing"/>
    <d v="2020-04-30T00:00:00"/>
    <d v="2023-10-07T00:00:00"/>
    <n v="1134000"/>
    <n v="0.23"/>
    <x v="0"/>
    <n v="3"/>
    <s v="30-39"/>
  </r>
  <r>
    <s v="E02687"/>
    <s v="Azariah"/>
    <s v="Male"/>
    <n v="31"/>
    <s v="Auto Eng"/>
    <x v="0"/>
    <s v="Manufacturing"/>
    <d v="2020-02-26T00:00:00"/>
    <m/>
    <n v="1136000"/>
    <n v="0.39"/>
    <x v="1"/>
    <n v="5"/>
    <s v="30-39"/>
  </r>
  <r>
    <s v="E01407"/>
    <s v="Wesson"/>
    <s v="Male"/>
    <n v="38"/>
    <s v=" Dev Eng"/>
    <x v="0"/>
    <s v="Manufacturing"/>
    <d v="2022-09-11T00:00:00"/>
    <m/>
    <n v="1138000"/>
    <n v="0.11"/>
    <x v="1"/>
    <n v="3"/>
    <s v="30-39"/>
  </r>
  <r>
    <s v="E02748"/>
    <s v="Malani"/>
    <s v="Male"/>
    <n v="31"/>
    <s v="Sr. Analyst"/>
    <x v="2"/>
    <s v="Manufacturing"/>
    <d v="2024-05-18T00:00:00"/>
    <m/>
    <n v="1140000"/>
    <n v="0.18"/>
    <x v="1"/>
    <n v="1"/>
    <s v="30-39"/>
  </r>
  <r>
    <s v="E01995"/>
    <s v="Frank"/>
    <s v="Male"/>
    <n v="39"/>
    <s v="Quality Eng"/>
    <x v="0"/>
    <s v="Corporate"/>
    <d v="2021-11-09T00:00:00"/>
    <m/>
    <n v="1142000"/>
    <n v="0.31"/>
    <x v="1"/>
    <n v="4"/>
    <s v="30-39"/>
  </r>
  <r>
    <s v="E01714"/>
    <s v="Zoie"/>
    <s v="Male"/>
    <n v="31"/>
    <s v="Ops Eng"/>
    <x v="0"/>
    <s v="Products"/>
    <d v="2020-05-12T00:00:00"/>
    <m/>
    <n v="1144000"/>
    <n v="0"/>
    <x v="1"/>
    <n v="5"/>
    <s v="30-39"/>
  </r>
  <r>
    <s v="E04491"/>
    <s v="Romeo"/>
    <s v="Male"/>
    <n v="45"/>
    <s v="Field Eng"/>
    <x v="0"/>
    <s v="Manufacturing"/>
    <d v="2022-09-11T00:00:00"/>
    <m/>
    <n v="1146000"/>
    <n v="0"/>
    <x v="1"/>
    <n v="3"/>
    <s v="40-49"/>
  </r>
  <r>
    <s v="E01076"/>
    <s v="Danna"/>
    <s v="Female"/>
    <n v="50"/>
    <s v="Sr. Analyst"/>
    <x v="4"/>
    <s v="R&amp;D"/>
    <d v="2022-10-23T00:00:00"/>
    <m/>
    <n v="1148000"/>
    <n v="0.13"/>
    <x v="1"/>
    <n v="3"/>
    <s v="50-59"/>
  </r>
  <r>
    <s v="E04131"/>
    <s v="Clyde"/>
    <s v="Male"/>
    <n v="36"/>
    <s v="Net Admin"/>
    <x v="5"/>
    <s v="Manufacturing"/>
    <d v="2024-08-23T00:00:00"/>
    <m/>
    <n v="1150000"/>
    <n v="0"/>
    <x v="1"/>
    <n v="1"/>
    <s v="30-39"/>
  </r>
  <r>
    <s v="E02843"/>
    <s v="Zhuri"/>
    <s v="Female"/>
    <n v="45"/>
    <s v="Sr. Analyst"/>
    <x v="3"/>
    <s v="Products"/>
    <d v="2023-11-07T00:00:00"/>
    <m/>
    <n v="1152000"/>
    <n v="0.05"/>
    <x v="1"/>
    <n v="2"/>
    <s v="40-49"/>
  </r>
  <r>
    <s v="E03758"/>
    <s v="Ariel"/>
    <s v="Male"/>
    <n v="29"/>
    <s v=" Dev Eng"/>
    <x v="0"/>
    <s v="R&amp;D"/>
    <d v="2023-10-07T00:00:00"/>
    <d v="2024-05-18T00:00:00"/>
    <n v="1154000"/>
    <n v="0.21"/>
    <x v="0"/>
    <n v="0"/>
    <s v="20-29"/>
  </r>
  <r>
    <s v="E02063"/>
    <s v="Penny"/>
    <s v="Male"/>
    <n v="41"/>
    <s v="Net Admin"/>
    <x v="5"/>
    <s v="R&amp;D"/>
    <d v="2022-04-26T00:00:00"/>
    <m/>
    <n v="1156000"/>
    <n v="0"/>
    <x v="1"/>
    <n v="3"/>
    <s v="40-49"/>
  </r>
  <r>
    <s v="E00638"/>
    <s v="Branson"/>
    <s v="Female"/>
    <n v="47"/>
    <s v="Field Eng"/>
    <x v="0"/>
    <s v="Corporate"/>
    <d v="2020-02-28T00:00:00"/>
    <m/>
    <n v="1158000"/>
    <n v="7.0000000000000007E-2"/>
    <x v="1"/>
    <n v="5"/>
    <s v="40-49"/>
  </r>
  <r>
    <s v="E03571"/>
    <s v="Maren"/>
    <s v="Male"/>
    <n v="38"/>
    <s v="Auto Eng"/>
    <x v="0"/>
    <s v="Corporate"/>
    <d v="2020-10-12T00:00:00"/>
    <m/>
    <n v="1160000"/>
    <n v="0"/>
    <x v="1"/>
    <n v="5"/>
    <s v="30-39"/>
  </r>
  <r>
    <s v="E01820"/>
    <s v="Diego"/>
    <s v="Male"/>
    <n v="40"/>
    <s v=" Dev Eng"/>
    <x v="0"/>
    <s v="Products"/>
    <d v="2022-01-27T00:00:00"/>
    <d v="2024-08-23T00:00:00"/>
    <n v="1162000"/>
    <n v="0"/>
    <x v="0"/>
    <n v="2"/>
    <s v="40-49"/>
  </r>
  <r>
    <s v="E01712"/>
    <s v="Kendra"/>
    <s v="Male"/>
    <n v="45"/>
    <s v="Sr. Acc Rep"/>
    <x v="1"/>
    <s v="Corporate"/>
    <d v="2024-02-15T00:00:00"/>
    <m/>
    <n v="1164000"/>
    <n v="0.28000000000000003"/>
    <x v="1"/>
    <n v="1"/>
    <s v="40-49"/>
  </r>
  <r>
    <s v="E00184"/>
    <s v="Weston"/>
    <s v="Male"/>
    <n v="51"/>
    <s v="Field Eng"/>
    <x v="0"/>
    <s v="Products"/>
    <d v="2024-02-10T00:00:00"/>
    <m/>
    <n v="1166000"/>
    <n v="0"/>
    <x v="1"/>
    <n v="2"/>
    <s v="50-59"/>
  </r>
  <r>
    <s v="E02706"/>
    <s v="Hayden"/>
    <s v="Female"/>
    <n v="35"/>
    <s v="Sr. Acc Rep"/>
    <x v="1"/>
    <s v="R&amp;D"/>
    <d v="2020-12-18T00:00:00"/>
    <m/>
    <n v="1168000"/>
    <n v="0.12"/>
    <x v="1"/>
    <n v="5"/>
    <s v="30-39"/>
  </r>
  <r>
    <s v="E02899"/>
    <s v="Lane"/>
    <s v="Male"/>
    <n v="51"/>
    <s v="Auto Eng"/>
    <x v="0"/>
    <s v="Products"/>
    <d v="2020-01-07T00:00:00"/>
    <m/>
    <n v="1170000"/>
    <n v="0.13"/>
    <x v="1"/>
    <n v="6"/>
    <s v="50-59"/>
  </r>
  <r>
    <s v="E02478"/>
    <s v="Kamryn"/>
    <s v="Female"/>
    <n v="35"/>
    <s v="Auto Eng"/>
    <x v="0"/>
    <s v="R&amp;D"/>
    <d v="2023-10-07T00:00:00"/>
    <m/>
    <n v="1172000"/>
    <n v="0.06"/>
    <x v="1"/>
    <n v="2"/>
    <s v="30-39"/>
  </r>
  <r>
    <s v="E04170"/>
    <s v="Vance"/>
    <s v="Female"/>
    <n v="31"/>
    <s v="Sr. Manger"/>
    <x v="2"/>
    <s v="R&amp;D"/>
    <d v="2021-10-18T00:00:00"/>
    <m/>
    <n v="1174000"/>
    <n v="0.39"/>
    <x v="1"/>
    <n v="4"/>
    <s v="30-39"/>
  </r>
  <r>
    <s v="E00929"/>
    <s v="Gabrielle"/>
    <s v="Female"/>
    <n v="31"/>
    <s v="Sr. Manger"/>
    <x v="3"/>
    <s v="Products"/>
    <d v="2022-08-18T00:00:00"/>
    <m/>
    <n v="1176000"/>
    <n v="0"/>
    <x v="1"/>
    <n v="3"/>
    <s v="30-39"/>
  </r>
  <r>
    <s v="E00530"/>
    <s v="Santana"/>
    <s v="Female"/>
    <n v="31"/>
    <s v="Sr. Manger"/>
    <x v="4"/>
    <s v="Corporate"/>
    <d v="2024-05-28T00:00:00"/>
    <m/>
    <n v="1178000"/>
    <n v="0.1"/>
    <x v="1"/>
    <n v="1"/>
    <s v="30-39"/>
  </r>
  <r>
    <s v="E03824"/>
    <s v="Royalty"/>
    <s v="Male"/>
    <n v="51"/>
    <s v="Quality Eng"/>
    <x v="0"/>
    <s v="Manufacturing"/>
    <d v="2022-09-07T00:00:00"/>
    <m/>
    <n v="1180000"/>
    <n v="0"/>
    <x v="1"/>
    <n v="3"/>
    <s v="50-59"/>
  </r>
  <r>
    <s v="E02492"/>
    <s v="Charli"/>
    <s v="Female"/>
    <n v="36"/>
    <s v="Sr. Manger"/>
    <x v="3"/>
    <s v="Manufacturing"/>
    <d v="2022-01-03T00:00:00"/>
    <d v="2023-10-07T00:00:00"/>
    <n v="1182000"/>
    <n v="0"/>
    <x v="0"/>
    <n v="1"/>
    <s v="30-39"/>
  </r>
  <r>
    <s v="E01733"/>
    <s v="Maximilian"/>
    <s v="Male"/>
    <n v="45"/>
    <s v="IT Coord"/>
    <x v="5"/>
    <s v="R&amp;D"/>
    <d v="2023-05-28T00:00:00"/>
    <m/>
    <n v="1184000"/>
    <n v="7.0000000000000007E-2"/>
    <x v="1"/>
    <n v="2"/>
    <s v="40-49"/>
  </r>
  <r>
    <s v="E02857"/>
    <s v="Lillie"/>
    <s v="Female"/>
    <n v="37"/>
    <s v="Quality Eng"/>
    <x v="0"/>
    <s v="Products"/>
    <d v="2023-11-15T00:00:00"/>
    <m/>
    <n v="1186000"/>
    <n v="0"/>
    <x v="1"/>
    <n v="2"/>
    <s v="30-39"/>
  </r>
  <r>
    <s v="E00145"/>
    <s v="Juliette"/>
    <s v="Male"/>
    <n v="37"/>
    <s v="Quality Eng"/>
    <x v="0"/>
    <s v="R&amp;D"/>
    <d v="2020-01-21T00:00:00"/>
    <m/>
    <n v="1188000"/>
    <n v="0"/>
    <x v="1"/>
    <n v="6"/>
    <s v="30-39"/>
  </r>
  <r>
    <s v="E04150"/>
    <s v="Willa"/>
    <s v="Male"/>
    <n v="47"/>
    <s v="Ops Eng"/>
    <x v="0"/>
    <s v="Corporate"/>
    <d v="2023-10-07T00:00:00"/>
    <m/>
    <n v="1190000"/>
    <n v="0"/>
    <x v="1"/>
    <n v="2"/>
    <s v="40-49"/>
  </r>
  <r>
    <s v="E02846"/>
    <s v="Atreus"/>
    <s v="Male"/>
    <n v="36"/>
    <s v="IT Coord"/>
    <x v="5"/>
    <s v="Products"/>
    <d v="2024-04-19T00:00:00"/>
    <m/>
    <n v="1192000"/>
    <n v="0.1"/>
    <x v="1"/>
    <n v="1"/>
    <s v="30-39"/>
  </r>
  <r>
    <s v="E04247"/>
    <s v="Ariah"/>
    <s v="Female"/>
    <n v="41"/>
    <s v="Ops Eng"/>
    <x v="0"/>
    <s v="R&amp;D"/>
    <d v="2020-09-09T00:00:00"/>
    <m/>
    <n v="1194000"/>
    <n v="0.09"/>
    <x v="1"/>
    <n v="5"/>
    <s v="40-49"/>
  </r>
  <r>
    <s v="E02613"/>
    <s v="Bear"/>
    <s v="Male"/>
    <n v="51"/>
    <s v="Ops Eng"/>
    <x v="0"/>
    <s v="Manufacturing"/>
    <d v="2023-11-03T00:00:00"/>
    <m/>
    <n v="1196000"/>
    <n v="0.3"/>
    <x v="1"/>
    <n v="2"/>
    <s v="50-59"/>
  </r>
  <r>
    <s v="E03349"/>
    <s v="Dahlia"/>
    <s v="Female"/>
    <n v="41"/>
    <s v="IT Coord"/>
    <x v="5"/>
    <s v="Manufacturing"/>
    <d v="2024-04-30T00:00:00"/>
    <m/>
    <n v="1198000"/>
    <n v="0.23"/>
    <x v="1"/>
    <n v="1"/>
    <s v="40-49"/>
  </r>
  <r>
    <s v="E03648"/>
    <s v="Drake"/>
    <s v="Male"/>
    <n v="38"/>
    <s v="Auto Eng"/>
    <x v="0"/>
    <s v="Manufacturing"/>
    <d v="2020-02-26T00:00:00"/>
    <m/>
    <n v="1200000"/>
    <n v="0"/>
    <x v="1"/>
    <n v="5"/>
    <s v="30-39"/>
  </r>
  <r>
    <s v="E02192"/>
    <s v="Keira"/>
    <s v="Male"/>
    <n v="51"/>
    <s v=" Dev Eng"/>
    <x v="0"/>
    <s v="Manufacturing"/>
    <d v="2022-09-11T00:00:00"/>
    <m/>
    <n v="1202000"/>
    <n v="0"/>
    <x v="1"/>
    <n v="3"/>
    <s v="50-59"/>
  </r>
  <r>
    <s v="E03981"/>
    <s v="Jamison"/>
    <s v="Male"/>
    <n v="39"/>
    <s v="Sr. Analyst"/>
    <x v="2"/>
    <s v="Manufacturing"/>
    <d v="2024-05-18T00:00:00"/>
    <m/>
    <n v="1204000"/>
    <n v="0"/>
    <x v="1"/>
    <n v="1"/>
    <s v="30-39"/>
  </r>
  <r>
    <s v="E03262"/>
    <s v="Oaklyn"/>
    <s v="Male"/>
    <n v="31"/>
    <s v="Quality Eng"/>
    <x v="0"/>
    <s v="Corporate"/>
    <d v="2021-11-09T00:00:00"/>
    <m/>
    <n v="1206000"/>
    <n v="0"/>
    <x v="1"/>
    <n v="4"/>
    <s v="30-39"/>
  </r>
  <r>
    <s v="E02716"/>
    <s v="Fisher"/>
    <s v="Male"/>
    <n v="45"/>
    <s v="Ops Eng"/>
    <x v="0"/>
    <s v="Products"/>
    <d v="2020-05-12T00:00:00"/>
    <m/>
    <n v="1208000"/>
    <n v="0.11"/>
    <x v="1"/>
    <n v="5"/>
    <s v="40-49"/>
  </r>
  <r>
    <s v="E00245"/>
    <s v="Kennedi"/>
    <s v="Male"/>
    <n v="50"/>
    <s v="Field Eng"/>
    <x v="0"/>
    <s v="Manufacturing"/>
    <d v="2022-09-11T00:00:00"/>
    <m/>
    <n v="1210000"/>
    <n v="0.06"/>
    <x v="1"/>
    <n v="3"/>
    <s v="50-59"/>
  </r>
  <r>
    <s v="E04123"/>
    <s v="Dallas"/>
    <s v="Female"/>
    <n v="36"/>
    <s v="Sr. Analyst"/>
    <x v="4"/>
    <s v="R&amp;D"/>
    <d v="2022-10-23T00:00:00"/>
    <m/>
    <n v="1212000"/>
    <n v="0.36"/>
    <x v="1"/>
    <n v="3"/>
    <s v="30-39"/>
  </r>
  <r>
    <s v="E03471"/>
    <s v="Amber"/>
    <s v="Male"/>
    <n v="45"/>
    <s v="Net Admin"/>
    <x v="5"/>
    <s v="Manufacturing"/>
    <d v="2024-08-23T00:00:00"/>
    <m/>
    <n v="1214000"/>
    <n v="0.06"/>
    <x v="1"/>
    <n v="1"/>
    <s v="40-49"/>
  </r>
  <r>
    <s v="E00717"/>
    <s v="Marcel"/>
    <s v="Female"/>
    <n v="29"/>
    <s v="Sr. Analyst"/>
    <x v="3"/>
    <s v="Products"/>
    <d v="2023-11-07T00:00:00"/>
    <d v="2024-04-19T00:00:00"/>
    <n v="1216000"/>
    <n v="0"/>
    <x v="0"/>
    <n v="0"/>
    <s v="20-29"/>
  </r>
  <r>
    <s v="E01966"/>
    <s v="Capri"/>
    <s v="Male"/>
    <n v="41"/>
    <s v=" Dev Eng"/>
    <x v="0"/>
    <s v="R&amp;D"/>
    <d v="2023-10-07T00:00:00"/>
    <m/>
    <n v="1218000"/>
    <n v="0"/>
    <x v="1"/>
    <n v="2"/>
    <s v="40-49"/>
  </r>
  <r>
    <s v="E03683"/>
    <s v="Jefferson"/>
    <s v="Male"/>
    <n v="47"/>
    <s v="Net Admin"/>
    <x v="5"/>
    <s v="R&amp;D"/>
    <d v="2022-04-26T00:00:00"/>
    <m/>
    <n v="1220000"/>
    <n v="0.28000000000000003"/>
    <x v="1"/>
    <n v="3"/>
    <s v="40-49"/>
  </r>
  <r>
    <s v="E03694"/>
    <s v="Odin"/>
    <s v="Female"/>
    <n v="38"/>
    <s v="Field Eng"/>
    <x v="0"/>
    <s v="Corporate"/>
    <d v="2020-02-28T00:00:00"/>
    <d v="2022-09-11T00:00:00"/>
    <n v="1222000"/>
    <n v="0"/>
    <x v="0"/>
    <n v="2"/>
    <s v="30-39"/>
  </r>
  <r>
    <s v="E04766"/>
    <s v="Matias"/>
    <s v="Male"/>
    <n v="40"/>
    <s v="Auto Eng"/>
    <x v="0"/>
    <s v="Corporate"/>
    <d v="2020-10-12T00:00:00"/>
    <m/>
    <n v="1224000"/>
    <n v="0.32"/>
    <x v="1"/>
    <n v="5"/>
    <s v="40-49"/>
  </r>
  <r>
    <s v="E01465"/>
    <s v="Madeleine"/>
    <s v="Male"/>
    <n v="45"/>
    <s v=" Dev Eng"/>
    <x v="0"/>
    <s v="Products"/>
    <d v="2022-01-27T00:00:00"/>
    <m/>
    <n v="1226000"/>
    <n v="0.13"/>
    <x v="1"/>
    <n v="4"/>
    <s v="40-49"/>
  </r>
  <r>
    <s v="E00206"/>
    <s v="Justin"/>
    <s v="Male"/>
    <n v="51"/>
    <s v="Sr. Acc Rep"/>
    <x v="1"/>
    <s v="Corporate"/>
    <d v="2024-02-15T00:00:00"/>
    <m/>
    <n v="1228000"/>
    <n v="7.0000000000000007E-2"/>
    <x v="1"/>
    <n v="1"/>
    <s v="50-59"/>
  </r>
  <r>
    <s v="E04088"/>
    <s v="Alexandria"/>
    <s v="Male"/>
    <n v="35"/>
    <s v="Field Eng"/>
    <x v="0"/>
    <s v="Products"/>
    <d v="2024-02-10T00:00:00"/>
    <m/>
    <n v="1230000"/>
    <n v="0.37"/>
    <x v="1"/>
    <n v="2"/>
    <s v="30-39"/>
  </r>
  <r>
    <s v="E02066"/>
    <s v="Killian"/>
    <s v="Female"/>
    <n v="41"/>
    <s v="Sr. Acc Rep"/>
    <x v="1"/>
    <s v="R&amp;D"/>
    <d v="2020-12-18T00:00:00"/>
    <m/>
    <n v="1232000"/>
    <n v="0.09"/>
    <x v="1"/>
    <n v="5"/>
    <s v="40-49"/>
  </r>
  <r>
    <s v="E03227"/>
    <s v="Laney"/>
    <s v="Male"/>
    <n v="35"/>
    <s v="Auto Eng"/>
    <x v="0"/>
    <s v="Products"/>
    <d v="2020-01-07T00:00:00"/>
    <m/>
    <n v="1234000"/>
    <n v="0"/>
    <x v="1"/>
    <n v="6"/>
    <s v="30-39"/>
  </r>
  <r>
    <s v="E03364"/>
    <s v="Yahir"/>
    <s v="Female"/>
    <n v="41"/>
    <s v="Auto Eng"/>
    <x v="0"/>
    <s v="R&amp;D"/>
    <d v="2023-10-07T00:00:00"/>
    <m/>
    <n v="1236000"/>
    <n v="0"/>
    <x v="1"/>
    <n v="2"/>
    <s v="40-49"/>
  </r>
  <r>
    <s v="E00607"/>
    <s v="Charleigh"/>
    <s v="Female"/>
    <n v="41"/>
    <s v="Sr. Manger"/>
    <x v="2"/>
    <s v="R&amp;D"/>
    <d v="2021-10-18T00:00:00"/>
    <m/>
    <n v="1238000"/>
    <n v="0.16"/>
    <x v="1"/>
    <n v="4"/>
    <s v="40-49"/>
  </r>
  <r>
    <s v="E02258"/>
    <s v="Willie"/>
    <s v="Female"/>
    <n v="41"/>
    <s v="Sr. Manger"/>
    <x v="3"/>
    <s v="Products"/>
    <d v="2022-08-18T00:00:00"/>
    <m/>
    <n v="1240000"/>
    <n v="0"/>
    <x v="1"/>
    <n v="3"/>
    <s v="40-49"/>
  </r>
  <r>
    <s v="E03681"/>
    <s v="Brecken"/>
    <s v="Female"/>
    <n v="46"/>
    <s v="Sr. Manger"/>
    <x v="4"/>
    <s v="Corporate"/>
    <d v="2024-05-28T00:00:00"/>
    <m/>
    <n v="1242000"/>
    <n v="0"/>
    <x v="1"/>
    <n v="1"/>
    <s v="40-49"/>
  </r>
  <r>
    <s v="E02298"/>
    <s v="Evie"/>
    <s v="Female"/>
    <n v="36"/>
    <s v="Quality Eng"/>
    <x v="0"/>
    <s v="Manufacturing"/>
    <d v="2022-09-07T00:00:00"/>
    <m/>
    <n v="1244000"/>
    <n v="0.11"/>
    <x v="1"/>
    <n v="3"/>
    <s v="30-39"/>
  </r>
  <r>
    <s v="E02984"/>
    <s v="Legend"/>
    <s v="Male"/>
    <n v="45"/>
    <s v="Sr. Manger"/>
    <x v="3"/>
    <s v="Manufacturing"/>
    <d v="2024-01-03T00:00:00"/>
    <m/>
    <n v="1246000"/>
    <n v="0"/>
    <x v="1"/>
    <n v="2"/>
    <s v="40-49"/>
  </r>
  <r>
    <s v="E02440"/>
    <s v="Harlee"/>
    <s v="Female"/>
    <n v="37"/>
    <s v="IT Coord"/>
    <x v="5"/>
    <s v="R&amp;D"/>
    <d v="2023-05-28T00:00:00"/>
    <d v="2024-02-15T00:00:00"/>
    <n v="1248000"/>
    <n v="0"/>
    <x v="0"/>
    <n v="0"/>
    <s v="30-39"/>
  </r>
  <r>
    <s v="E04699"/>
    <s v="Raphael"/>
    <s v="Male"/>
    <n v="38"/>
    <s v="Quality Eng"/>
    <x v="0"/>
    <s v="Products"/>
    <d v="2023-11-15T00:00:00"/>
    <d v="2024-01-03T00:00:00"/>
    <n v="1250000"/>
    <n v="0"/>
    <x v="0"/>
    <n v="0"/>
    <s v="30-39"/>
  </r>
  <r>
    <s v="E03579"/>
    <s v="Sierra"/>
    <s v="Female"/>
    <n v="45"/>
    <s v="Quality Eng"/>
    <x v="0"/>
    <s v="R&amp;D"/>
    <d v="2020-01-21T00:00:00"/>
    <d v="2023-10-07T00:00:00"/>
    <n v="1252000"/>
    <n v="0.32"/>
    <x v="0"/>
    <n v="3"/>
    <s v="40-49"/>
  </r>
  <r>
    <s v="E01649"/>
    <s v="Harvey"/>
    <s v="Male"/>
    <n v="51"/>
    <s v="Ops Eng"/>
    <x v="0"/>
    <s v="Corporate"/>
    <d v="2023-10-07T00:00:00"/>
    <m/>
    <n v="1254000"/>
    <n v="0.09"/>
    <x v="1"/>
    <n v="2"/>
    <s v="50-59"/>
  </r>
  <r>
    <s v="E04969"/>
    <s v="Presley"/>
    <s v="Male"/>
    <n v="56"/>
    <s v="IT Coord"/>
    <x v="5"/>
    <s v="Products"/>
    <d v="2024-04-19T00:00:00"/>
    <m/>
    <n v="1256000"/>
    <n v="0"/>
    <x v="1"/>
    <n v="1"/>
    <s v="50-59"/>
  </r>
  <r>
    <s v="E00170"/>
    <s v="Chaim"/>
    <s v="Male"/>
    <n v="53"/>
    <s v="Ops Eng"/>
    <x v="0"/>
    <s v="R&amp;D"/>
    <d v="2020-09-09T00:00:00"/>
    <m/>
    <n v="1258000"/>
    <n v="0.28000000000000003"/>
    <x v="1"/>
    <n v="5"/>
    <s v="50-59"/>
  </r>
  <r>
    <s v="E00955"/>
    <s v="Estelle"/>
    <s v="Female"/>
    <n v="47"/>
    <s v="Ops Eng"/>
    <x v="0"/>
    <s v="Manufacturing"/>
    <d v="2023-11-03T00:00:00"/>
    <m/>
    <n v="1260000"/>
    <n v="0"/>
    <x v="1"/>
    <n v="2"/>
    <s v="40-49"/>
  </r>
  <r>
    <s v="E00810"/>
    <s v="Spencer"/>
    <s v="Male"/>
    <n v="36"/>
    <s v="IT Coord"/>
    <x v="5"/>
    <s v="Manufacturing"/>
    <d v="2024-04-30T00:00:00"/>
    <m/>
    <n v="1262000"/>
    <n v="0.33"/>
    <x v="1"/>
    <n v="1"/>
    <s v="30-39"/>
  </r>
  <r>
    <s v="E02798"/>
    <s v="Eric"/>
    <s v="Female"/>
    <n v="41"/>
    <s v="Auto Eng"/>
    <x v="0"/>
    <s v="Manufacturing"/>
    <d v="2020-02-26T00:00:00"/>
    <m/>
    <n v="1264000"/>
    <n v="0"/>
    <x v="1"/>
    <n v="5"/>
    <s v="40-49"/>
  </r>
  <r>
    <s v="E04542"/>
    <s v="Remy"/>
    <s v="Male"/>
    <n v="30"/>
    <s v=" Dev Eng"/>
    <x v="0"/>
    <s v="Manufacturing"/>
    <d v="2022-09-11T00:00:00"/>
    <d v="2023-05-28T00:00:00"/>
    <n v="1266000"/>
    <n v="0.08"/>
    <x v="0"/>
    <n v="0"/>
    <s v="30-39"/>
  </r>
  <r>
    <s v="E02818"/>
    <s v="Beatrice"/>
    <s v="Male"/>
    <n v="30"/>
    <s v="Sr. Analyst"/>
    <x v="2"/>
    <s v="Manufacturing"/>
    <d v="2023-05-18T00:00:00"/>
    <d v="2024-04-19T00:00:00"/>
    <n v="1268000"/>
    <n v="0.28000000000000003"/>
    <x v="0"/>
    <n v="0"/>
    <s v="30-39"/>
  </r>
  <r>
    <s v="E02907"/>
    <s v="Gunner"/>
    <s v="Male"/>
    <n v="38"/>
    <s v="Quality Eng"/>
    <x v="0"/>
    <s v="Corporate"/>
    <d v="2021-11-09T00:00:00"/>
    <m/>
    <n v="1270000"/>
    <n v="0.12"/>
    <x v="1"/>
    <n v="4"/>
    <s v="30-39"/>
  </r>
  <r>
    <s v="E00023"/>
    <s v="Thalia"/>
    <s v="Male"/>
    <n v="51"/>
    <s v="Ops Eng"/>
    <x v="0"/>
    <s v="Products"/>
    <d v="2020-05-12T00:00:00"/>
    <m/>
    <n v="1272000"/>
    <n v="0.28000000000000003"/>
    <x v="1"/>
    <n v="5"/>
    <s v="50-59"/>
  </r>
  <r>
    <s v="E02391"/>
    <s v="Layton"/>
    <s v="Male"/>
    <n v="39"/>
    <s v="Field Eng"/>
    <x v="0"/>
    <s v="Manufacturing"/>
    <d v="2022-09-11T00:00:00"/>
    <m/>
    <n v="1274000"/>
    <n v="0.39"/>
    <x v="1"/>
    <n v="3"/>
    <s v="30-39"/>
  </r>
  <r>
    <s v="E01429"/>
    <s v="Allyson"/>
    <s v="Male"/>
    <n v="31"/>
    <s v="Sr. Analyst"/>
    <x v="4"/>
    <s v="R&amp;D"/>
    <d v="2022-10-23T00:00:00"/>
    <d v="2024-04-30T00:00:00"/>
    <n v="1276000"/>
    <n v="0"/>
    <x v="0"/>
    <n v="1"/>
    <s v="30-39"/>
  </r>
  <r>
    <s v="E00494"/>
    <s v="Kamari"/>
    <s v="Female"/>
    <n v="45"/>
    <s v="Net Admin"/>
    <x v="5"/>
    <s v="Manufacturing"/>
    <d v="2024-08-23T00:00:00"/>
    <m/>
    <n v="1278000"/>
    <n v="0"/>
    <x v="1"/>
    <n v="1"/>
    <s v="40-49"/>
  </r>
  <r>
    <s v="E00634"/>
    <s v="Ashlynn"/>
    <s v="Male"/>
    <n v="50"/>
    <s v="Sr. Analyst"/>
    <x v="3"/>
    <s v="Products"/>
    <d v="2023-11-07T00:00:00"/>
    <d v="2024-05-18T00:00:00"/>
    <n v="1280000"/>
    <n v="0"/>
    <x v="0"/>
    <n v="0"/>
    <s v="50-59"/>
  </r>
  <r>
    <s v="E01249"/>
    <s v="Landry"/>
    <s v="Female"/>
    <n v="36"/>
    <s v=" Dev Eng"/>
    <x v="0"/>
    <s v="R&amp;D"/>
    <d v="2023-10-07T00:00:00"/>
    <m/>
    <n v="1282000"/>
    <n v="0.3"/>
    <x v="1"/>
    <n v="2"/>
    <s v="30-39"/>
  </r>
  <r>
    <s v="E04683"/>
    <s v="Wallace"/>
    <s v="Male"/>
    <n v="45"/>
    <s v="Net Admin"/>
    <x v="5"/>
    <s v="R&amp;D"/>
    <d v="2022-04-26T00:00:00"/>
    <m/>
    <n v="1284000"/>
    <n v="0.18"/>
    <x v="1"/>
    <n v="3"/>
    <s v="40-49"/>
  </r>
  <r>
    <s v="E04732"/>
    <s v="Zion"/>
    <s v="Male"/>
    <n v="29"/>
    <s v="Field Eng"/>
    <x v="0"/>
    <s v="Corporate"/>
    <d v="2020-02-28T00:00:00"/>
    <d v="2022-09-11T00:00:00"/>
    <n v="1286000"/>
    <n v="0"/>
    <x v="0"/>
    <n v="2"/>
    <s v="20-29"/>
  </r>
  <r>
    <s v="E03834"/>
    <s v="Cayden"/>
    <s v="Female"/>
    <n v="41"/>
    <s v="Auto Eng"/>
    <x v="0"/>
    <s v="Corporate"/>
    <d v="2020-10-12T00:00:00"/>
    <d v="2023-10-07T00:00:00"/>
    <n v="1288000"/>
    <n v="0.24"/>
    <x v="0"/>
    <n v="2"/>
    <s v="40-49"/>
  </r>
  <r>
    <s v="E02923"/>
    <s v="Roland"/>
    <s v="Male"/>
    <n v="47"/>
    <s v=" Dev Eng"/>
    <x v="0"/>
    <s v="Products"/>
    <d v="2022-01-27T00:00:00"/>
    <m/>
    <n v="1290000"/>
    <n v="0"/>
    <x v="1"/>
    <n v="4"/>
    <s v="40-49"/>
  </r>
  <r>
    <s v="E02642"/>
    <s v="Joe"/>
    <s v="Male"/>
    <n v="38"/>
    <s v="Sr. Acc Rep"/>
    <x v="1"/>
    <s v="Corporate"/>
    <d v="2020-02-15T00:00:00"/>
    <d v="2024-05-28T00:00:00"/>
    <n v="1292000"/>
    <n v="0"/>
    <x v="0"/>
    <n v="4"/>
    <s v="30-39"/>
  </r>
  <r>
    <s v="E00981"/>
    <s v="Teresa"/>
    <s v="Male"/>
    <n v="40"/>
    <s v="Field Eng"/>
    <x v="0"/>
    <s v="Products"/>
    <d v="2024-02-10T00:00:00"/>
    <m/>
    <n v="1294000"/>
    <n v="0"/>
    <x v="1"/>
    <n v="2"/>
    <s v="40-49"/>
  </r>
  <r>
    <s v="E04157"/>
    <s v="Cohen"/>
    <s v="Male"/>
    <n v="45"/>
    <s v="Sr. Acc Rep"/>
    <x v="1"/>
    <s v="R&amp;D"/>
    <d v="2020-12-18T00:00:00"/>
    <m/>
    <n v="1296000"/>
    <n v="0"/>
    <x v="1"/>
    <n v="5"/>
    <s v="40-49"/>
  </r>
  <r>
    <s v="E03528"/>
    <s v="Amaya"/>
    <s v="Female"/>
    <n v="46"/>
    <s v="Auto Eng"/>
    <x v="0"/>
    <s v="Products"/>
    <d v="2020-01-07T00:00:00"/>
    <m/>
    <n v="1298000"/>
    <n v="0.15"/>
    <x v="1"/>
    <n v="6"/>
    <s v="40-49"/>
  </r>
  <r>
    <s v="E04547"/>
    <s v="Aziel"/>
    <s v="Male"/>
    <n v="35"/>
    <s v="Auto Eng"/>
    <x v="0"/>
    <s v="R&amp;D"/>
    <d v="2023-10-07T00:00:00"/>
    <m/>
    <n v="1300000"/>
    <n v="0"/>
    <x v="1"/>
    <n v="2"/>
    <s v="30-39"/>
  </r>
  <r>
    <s v="E04415"/>
    <s v="Anika"/>
    <s v="Female"/>
    <n v="46"/>
    <s v="Sr. Manger"/>
    <x v="2"/>
    <s v="R&amp;D"/>
    <d v="2021-10-18T00:00:00"/>
    <m/>
    <n v="1302000"/>
    <n v="0.26"/>
    <x v="1"/>
    <n v="4"/>
    <s v="40-49"/>
  </r>
  <r>
    <s v="E04484"/>
    <s v="Roy"/>
    <s v="Female"/>
    <n v="35"/>
    <s v="Sr. Manger"/>
    <x v="3"/>
    <s v="Products"/>
    <d v="2022-08-18T00:00:00"/>
    <m/>
    <n v="1304000"/>
    <n v="0"/>
    <x v="1"/>
    <n v="3"/>
    <s v="30-39"/>
  </r>
  <r>
    <s v="E02800"/>
    <s v="Meghan"/>
    <s v="Female"/>
    <n v="46"/>
    <s v="Sr. Manger"/>
    <x v="4"/>
    <s v="Corporate"/>
    <d v="2024-05-28T00:00:00"/>
    <m/>
    <n v="1306000"/>
    <n v="0.12"/>
    <x v="1"/>
    <n v="1"/>
    <s v="40-49"/>
  </r>
  <r>
    <s v="E04926"/>
    <s v="Briar"/>
    <s v="Female"/>
    <n v="46"/>
    <s v="Quality Eng"/>
    <x v="0"/>
    <s v="Manufacturing"/>
    <d v="2022-09-07T00:00:00"/>
    <m/>
    <n v="1308000"/>
    <n v="0"/>
    <x v="1"/>
    <n v="3"/>
    <s v="40-49"/>
  </r>
  <r>
    <s v="E01268"/>
    <s v="Alisson"/>
    <s v="Male"/>
    <n v="51"/>
    <s v="Sr. Manger"/>
    <x v="3"/>
    <s v="Manufacturing"/>
    <d v="2024-01-03T00:00:00"/>
    <m/>
    <n v="1310000"/>
    <n v="0"/>
    <x v="1"/>
    <n v="2"/>
    <s v="50-59"/>
  </r>
  <r>
    <s v="E04853"/>
    <s v="Lukas"/>
    <s v="Female"/>
    <n v="46"/>
    <s v="IT Coord"/>
    <x v="5"/>
    <s v="R&amp;D"/>
    <d v="2023-05-28T00:00:00"/>
    <m/>
    <n v="1312000"/>
    <n v="0"/>
    <x v="1"/>
    <n v="2"/>
    <s v="40-49"/>
  </r>
  <r>
    <s v="E01209"/>
    <s v="Kiara"/>
    <s v="Male"/>
    <n v="36"/>
    <s v="Quality Eng"/>
    <x v="0"/>
    <s v="Products"/>
    <d v="2023-11-15T00:00:00"/>
    <m/>
    <n v="1314000"/>
    <n v="0.08"/>
    <x v="1"/>
    <n v="2"/>
    <s v="30-39"/>
  </r>
  <r>
    <s v="E02024"/>
    <s v="Reid"/>
    <s v="Female"/>
    <n v="45"/>
    <s v="Quality Eng"/>
    <x v="0"/>
    <s v="R&amp;D"/>
    <d v="2020-01-21T00:00:00"/>
    <m/>
    <n v="1316000"/>
    <n v="0"/>
    <x v="1"/>
    <n v="6"/>
    <s v="40-49"/>
  </r>
  <r>
    <s v="E02427"/>
    <s v="Mae"/>
    <s v="Male"/>
    <n v="37"/>
    <s v="Ops Eng"/>
    <x v="0"/>
    <s v="Corporate"/>
    <d v="2023-10-07T00:00:00"/>
    <m/>
    <n v="1318000"/>
    <n v="7.0000000000000007E-2"/>
    <x v="1"/>
    <n v="2"/>
    <s v="30-39"/>
  </r>
  <r>
    <s v="E00276"/>
    <s v="Keith"/>
    <s v="Male"/>
    <n v="38"/>
    <s v="IT Coord"/>
    <x v="5"/>
    <s v="Products"/>
    <d v="2024-04-19T00:00:00"/>
    <m/>
    <n v="1320000"/>
    <n v="7.0000000000000007E-2"/>
    <x v="1"/>
    <n v="1"/>
    <s v="30-39"/>
  </r>
  <r>
    <s v="E00951"/>
    <s v="Sterling"/>
    <s v="Male"/>
    <n v="45"/>
    <s v="Ops Eng"/>
    <x v="0"/>
    <s v="R&amp;D"/>
    <d v="2020-09-09T00:00:00"/>
    <m/>
    <n v="1322000"/>
    <n v="0"/>
    <x v="1"/>
    <n v="5"/>
    <s v="40-49"/>
  </r>
  <r>
    <s v="E03248"/>
    <s v="Rayne"/>
    <s v="Female"/>
    <n v="51"/>
    <s v="Ops Eng"/>
    <x v="0"/>
    <s v="Manufacturing"/>
    <d v="2023-11-03T00:00:00"/>
    <m/>
    <n v="1324000"/>
    <n v="0.12"/>
    <x v="1"/>
    <n v="2"/>
    <s v="50-59"/>
  </r>
  <r>
    <s v="E04444"/>
    <s v="Blake"/>
    <s v="Male"/>
    <n v="56"/>
    <s v="IT Coord"/>
    <x v="5"/>
    <s v="Manufacturing"/>
    <d v="2024-04-30T00:00:00"/>
    <m/>
    <n v="1326000"/>
    <n v="0"/>
    <x v="1"/>
    <n v="1"/>
    <s v="50-59"/>
  </r>
  <r>
    <s v="E02307"/>
    <s v="Zendaya"/>
    <s v="Female"/>
    <n v="53"/>
    <s v="Auto Eng"/>
    <x v="0"/>
    <s v="Manufacturing"/>
    <d v="2020-02-26T00:00:00"/>
    <m/>
    <n v="1328000"/>
    <n v="0.26"/>
    <x v="1"/>
    <n v="5"/>
    <s v="50-59"/>
  </r>
  <r>
    <s v="E02375"/>
    <s v="Kameron"/>
    <s v="Male"/>
    <n v="47"/>
    <s v=" Dev Eng"/>
    <x v="0"/>
    <s v="Manufacturing"/>
    <d v="2022-09-11T00:00:00"/>
    <m/>
    <n v="1330000"/>
    <n v="0.13"/>
    <x v="1"/>
    <n v="3"/>
    <s v="40-49"/>
  </r>
  <r>
    <s v="E02276"/>
    <s v="Estella"/>
    <s v="Male"/>
    <n v="36"/>
    <s v="Sr. Analyst"/>
    <x v="2"/>
    <s v="Manufacturing"/>
    <d v="2024-05-18T00:00:00"/>
    <m/>
    <n v="1332000"/>
    <n v="0"/>
    <x v="1"/>
    <n v="1"/>
    <s v="30-39"/>
  </r>
  <r>
    <s v="E02649"/>
    <s v="Louie"/>
    <s v="Male"/>
    <n v="41"/>
    <s v="Quality Eng"/>
    <x v="0"/>
    <s v="Corporate"/>
    <d v="2021-11-09T00:00:00"/>
    <m/>
    <n v="1334000"/>
    <n v="0"/>
    <x v="1"/>
    <n v="4"/>
    <s v="40-49"/>
  </r>
  <r>
    <s v="E00503"/>
    <s v="Everlee"/>
    <s v="Male"/>
    <n v="51"/>
    <s v="Ops Eng"/>
    <x v="0"/>
    <s v="Products"/>
    <d v="2020-05-12T00:00:00"/>
    <m/>
    <n v="1336000"/>
    <n v="0.08"/>
    <x v="1"/>
    <n v="5"/>
    <s v="50-59"/>
  </r>
  <r>
    <s v="E01706"/>
    <s v="Aden"/>
    <s v="Male"/>
    <n v="51"/>
    <s v="Field Eng"/>
    <x v="0"/>
    <s v="Manufacturing"/>
    <d v="2022-09-11T00:00:00"/>
    <m/>
    <n v="1338000"/>
    <n v="0"/>
    <x v="1"/>
    <n v="3"/>
    <s v="50-59"/>
  </r>
  <r>
    <s v="E00676"/>
    <s v="Laila"/>
    <s v="Male"/>
    <n v="38"/>
    <s v="Sr. Analyst"/>
    <x v="4"/>
    <s v="R&amp;D"/>
    <d v="2022-10-23T00:00:00"/>
    <m/>
    <n v="1340000"/>
    <n v="0.1"/>
    <x v="1"/>
    <n v="3"/>
    <s v="30-39"/>
  </r>
  <r>
    <s v="E02005"/>
    <s v="Johnathan"/>
    <s v="Female"/>
    <n v="46"/>
    <s v="Net Admin"/>
    <x v="5"/>
    <s v="Manufacturing"/>
    <d v="2024-08-23T00:00:00"/>
    <m/>
    <n v="1342000"/>
    <n v="0"/>
    <x v="1"/>
    <n v="1"/>
    <s v="40-49"/>
  </r>
  <r>
    <s v="E01895"/>
    <s v="Alaiya"/>
    <s v="Male"/>
    <n v="39"/>
    <s v="Sr. Analyst"/>
    <x v="3"/>
    <s v="Products"/>
    <d v="2023-11-07T00:00:00"/>
    <m/>
    <n v="1344000"/>
    <n v="0"/>
    <x v="1"/>
    <n v="2"/>
    <s v="30-39"/>
  </r>
  <r>
    <s v="E01396"/>
    <s v="Averi"/>
    <s v="Female"/>
    <n v="31"/>
    <s v=" Dev Eng"/>
    <x v="0"/>
    <s v="R&amp;D"/>
    <d v="2023-10-07T00:00:00"/>
    <m/>
    <n v="1346000"/>
    <n v="0"/>
    <x v="1"/>
    <n v="2"/>
    <s v="30-39"/>
  </r>
  <r>
    <s v="E00749"/>
    <s v="Victor"/>
    <s v="Male"/>
    <n v="45"/>
    <s v="Net Admin"/>
    <x v="5"/>
    <s v="R&amp;D"/>
    <d v="2022-04-26T00:00:00"/>
    <d v="2024-05-28T00:00:00"/>
    <n v="1348000"/>
    <n v="0"/>
    <x v="0"/>
    <n v="2"/>
    <s v="40-49"/>
  </r>
  <r>
    <s v="E01941"/>
    <s v="Marie"/>
    <s v="Male"/>
    <n v="50"/>
    <s v="Field Eng"/>
    <x v="0"/>
    <s v="Corporate"/>
    <d v="2020-02-28T00:00:00"/>
    <d v="2023-10-07T00:00:00"/>
    <n v="1350000"/>
    <n v="0"/>
    <x v="0"/>
    <n v="3"/>
    <s v="50-59"/>
  </r>
  <r>
    <s v="E01413"/>
    <s v="Magnolia"/>
    <s v="Female"/>
    <n v="36"/>
    <s v="Auto Eng"/>
    <x v="0"/>
    <s v="Corporate"/>
    <d v="2020-10-12T00:00:00"/>
    <m/>
    <n v="1352000"/>
    <n v="0"/>
    <x v="1"/>
    <n v="5"/>
    <s v="30-39"/>
  </r>
  <r>
    <s v="E03928"/>
    <s v="Lawson"/>
    <s v="Male"/>
    <n v="45"/>
    <s v=" Dev Eng"/>
    <x v="0"/>
    <s v="Products"/>
    <d v="2022-01-27T00:00:00"/>
    <m/>
    <n v="1354000"/>
    <n v="0"/>
    <x v="1"/>
    <n v="4"/>
    <s v="40-49"/>
  </r>
  <r>
    <s v="E04109"/>
    <s v="Adelina"/>
    <s v="Male"/>
    <n v="51"/>
    <s v="Sr. Acc Rep"/>
    <x v="1"/>
    <s v="Corporate"/>
    <d v="2024-02-15T00:00:00"/>
    <m/>
    <n v="1356000"/>
    <n v="0"/>
    <x v="1"/>
    <n v="1"/>
    <s v="50-59"/>
  </r>
  <r>
    <s v="E03994"/>
    <s v="Hendrix"/>
    <s v="Male"/>
    <n v="41"/>
    <s v="Field Eng"/>
    <x v="0"/>
    <s v="Products"/>
    <d v="2022-02-10T00:00:00"/>
    <d v="2024-05-28T00:00:00"/>
    <n v="1358000"/>
    <n v="0"/>
    <x v="0"/>
    <n v="2"/>
    <s v="40-49"/>
  </r>
  <r>
    <s v="E00639"/>
    <s v="Braylon"/>
    <s v="Male"/>
    <n v="47"/>
    <s v="Sr. Acc Rep"/>
    <x v="1"/>
    <s v="R&amp;D"/>
    <d v="2020-12-18T00:00:00"/>
    <m/>
    <n v="1360000"/>
    <n v="0"/>
    <x v="1"/>
    <n v="5"/>
    <s v="40-49"/>
  </r>
  <r>
    <s v="E00608"/>
    <s v="Meadow"/>
    <s v="Female"/>
    <n v="38"/>
    <s v="Auto Eng"/>
    <x v="0"/>
    <s v="Products"/>
    <d v="2020-01-07T00:00:00"/>
    <m/>
    <n v="1362000"/>
    <n v="0"/>
    <x v="1"/>
    <n v="6"/>
    <s v="30-39"/>
  </r>
  <r>
    <s v="E04189"/>
    <s v="Franklin"/>
    <s v="Male"/>
    <n v="40"/>
    <s v="Auto Eng"/>
    <x v="0"/>
    <s v="R&amp;D"/>
    <d v="2023-10-07T00:00:00"/>
    <m/>
    <n v="1364000"/>
    <n v="0"/>
    <x v="1"/>
    <n v="2"/>
    <s v="40-49"/>
  </r>
  <r>
    <s v="E02732"/>
    <s v="Alaina"/>
    <s v="Female"/>
    <n v="45"/>
    <s v="Sr. Manger"/>
    <x v="2"/>
    <s v="R&amp;D"/>
    <d v="2021-10-18T00:00:00"/>
    <m/>
    <n v="1366000"/>
    <n v="0"/>
    <x v="1"/>
    <n v="4"/>
    <s v="40-49"/>
  </r>
  <r>
    <s v="E00324"/>
    <s v="Dakari"/>
    <s v="Female"/>
    <n v="26"/>
    <s v="Sr. Manger"/>
    <x v="3"/>
    <s v="Products"/>
    <d v="2020-08-18T00:00:00"/>
    <d v="2022-01-03T00:00:00"/>
    <n v="1368000"/>
    <n v="0.06"/>
    <x v="0"/>
    <n v="1"/>
    <s v="20-29"/>
  </r>
  <r>
    <s v="E00518"/>
    <s v="Oaklynn"/>
    <s v="Female"/>
    <n v="35"/>
    <s v="Sr. Manger"/>
    <x v="4"/>
    <s v="Corporate"/>
    <d v="2021-05-28T00:00:00"/>
    <d v="2023-05-28T00:00:00"/>
    <n v="1370000"/>
    <n v="0.05"/>
    <x v="0"/>
    <n v="2"/>
    <s v="30-39"/>
  </r>
  <r>
    <s v="E01286"/>
    <s v="Raylan"/>
    <s v="Female"/>
    <n v="29"/>
    <s v="Quality Eng"/>
    <x v="0"/>
    <s v="Manufacturing"/>
    <d v="2022-09-07T00:00:00"/>
    <d v="2023-11-15T00:00:00"/>
    <n v="1372000"/>
    <n v="0"/>
    <x v="0"/>
    <n v="1"/>
    <s v="20-29"/>
  </r>
  <r>
    <s v="E04564"/>
    <s v="Jakari"/>
    <s v="Female"/>
    <n v="35"/>
    <s v="Sr. Manger"/>
    <x v="3"/>
    <s v="Manufacturing"/>
    <d v="2020-01-03T00:00:00"/>
    <d v="2024-01-21T00:00:00"/>
    <n v="1374000"/>
    <n v="0.13"/>
    <x v="0"/>
    <n v="4"/>
    <s v="30-39"/>
  </r>
  <r>
    <s v="E02033"/>
    <s v="Rhett"/>
    <s v="Male"/>
    <n v="51"/>
    <s v="IT Coord"/>
    <x v="5"/>
    <s v="R&amp;D"/>
    <d v="2023-05-28T00:00:00"/>
    <m/>
    <n v="1376000"/>
    <n v="0.2"/>
    <x v="1"/>
    <n v="2"/>
    <s v="50-59"/>
  </r>
  <r>
    <s v="E00412"/>
    <s v="Lennox"/>
    <s v="Female"/>
    <n v="46"/>
    <s v="Quality Eng"/>
    <x v="0"/>
    <s v="Products"/>
    <d v="2023-11-15T00:00:00"/>
    <m/>
    <n v="1378000"/>
    <n v="0"/>
    <x v="1"/>
    <n v="2"/>
    <s v="40-49"/>
  </r>
  <r>
    <s v="E01844"/>
    <s v="Jaxx"/>
    <s v="Male"/>
    <n v="51"/>
    <s v="Quality Eng"/>
    <x v="0"/>
    <s v="R&amp;D"/>
    <d v="2020-01-21T00:00:00"/>
    <m/>
    <n v="1380000"/>
    <n v="0"/>
    <x v="1"/>
    <n v="6"/>
    <s v="50-59"/>
  </r>
  <r>
    <s v="E00667"/>
    <s v="Kaliyah"/>
    <s v="Female"/>
    <n v="46"/>
    <s v="Ops Eng"/>
    <x v="0"/>
    <s v="Corporate"/>
    <d v="2023-10-07T00:00:00"/>
    <m/>
    <n v="1382000"/>
    <n v="0"/>
    <x v="1"/>
    <n v="2"/>
    <s v="40-49"/>
  </r>
  <r>
    <s v="E02639"/>
    <s v="Adelynn"/>
    <s v="Male"/>
    <n v="36"/>
    <s v="IT Coord"/>
    <x v="5"/>
    <s v="Products"/>
    <d v="2024-04-19T00:00:00"/>
    <m/>
    <n v="1384000"/>
    <n v="0"/>
    <x v="1"/>
    <n v="1"/>
    <s v="30-39"/>
  </r>
  <r>
    <s v="E00287"/>
    <s v="Evan"/>
    <s v="Male"/>
    <n v="45"/>
    <s v="Ops Eng"/>
    <x v="0"/>
    <s v="R&amp;D"/>
    <d v="2020-09-09T00:00:00"/>
    <m/>
    <n v="1386000"/>
    <n v="0.09"/>
    <x v="1"/>
    <n v="5"/>
    <s v="40-49"/>
  </r>
  <r>
    <s v="E02235"/>
    <s v="Rebekah"/>
    <s v="Male"/>
    <n v="37"/>
    <s v="Ops Eng"/>
    <x v="0"/>
    <s v="Manufacturing"/>
    <d v="2023-11-03T00:00:00"/>
    <m/>
    <n v="1388000"/>
    <n v="0"/>
    <x v="1"/>
    <n v="2"/>
    <s v="30-39"/>
  </r>
  <r>
    <s v="E02453"/>
    <s v="Calvin"/>
    <s v="Male"/>
    <n v="51"/>
    <s v="Ops Eng"/>
    <x v="4"/>
    <s v="Corporate"/>
    <d v="2024-05-28T00:00:00"/>
    <m/>
    <n v="1390000"/>
    <n v="0.15"/>
    <x v="1"/>
    <n v="1"/>
    <s v="50-59"/>
  </r>
  <r>
    <s v="E00647"/>
    <s v="Eston"/>
    <s v="Female"/>
    <n v="56"/>
    <s v="IT Coord"/>
    <x v="0"/>
    <s v="Manufacturing"/>
    <d v="2022-09-07T00:00:00"/>
    <m/>
    <n v="1392000"/>
    <n v="0"/>
    <x v="1"/>
    <n v="3"/>
    <s v="50-59"/>
  </r>
  <r>
    <s v="E02522"/>
    <s v="Alora"/>
    <s v="Male"/>
    <n v="53"/>
    <s v="Auto Eng"/>
    <x v="3"/>
    <s v="Manufacturing"/>
    <d v="2022-01-03T00:00:00"/>
    <d v="2023-10-07T00:00:00"/>
    <n v="1394000"/>
    <n v="0.26"/>
    <x v="0"/>
    <n v="1"/>
    <s v="50-59"/>
  </r>
  <r>
    <s v="E00459"/>
    <s v="Yareli"/>
    <s v="Female"/>
    <n v="47"/>
    <s v=" Dev Eng"/>
    <x v="5"/>
    <s v="R&amp;D"/>
    <d v="2023-05-28T00:00:00"/>
    <m/>
    <n v="1396000"/>
    <n v="0"/>
    <x v="1"/>
    <n v="2"/>
    <s v="40-49"/>
  </r>
  <r>
    <s v="E03007"/>
    <s v="Amos"/>
    <s v="Male"/>
    <n v="36"/>
    <s v="Sr. Analyst"/>
    <x v="0"/>
    <s v="Products"/>
    <d v="2023-11-15T00:00:00"/>
    <m/>
    <n v="1398000"/>
    <n v="0.12"/>
    <x v="1"/>
    <n v="2"/>
    <s v="30-39"/>
  </r>
  <r>
    <s v="E04035"/>
    <s v="lilah"/>
    <s v="Male"/>
    <n v="41"/>
    <s v="Quality Eng"/>
    <x v="0"/>
    <s v="R&amp;D"/>
    <d v="2020-01-21T00:00:00"/>
    <m/>
    <n v="1400000"/>
    <n v="0"/>
    <x v="1"/>
    <n v="6"/>
    <s v="40-49"/>
  </r>
  <r>
    <s v="E00952"/>
    <s v="Layne"/>
    <s v="Female"/>
    <n v="46"/>
    <s v="Ops Eng"/>
    <x v="0"/>
    <s v="Corporate"/>
    <d v="2023-10-07T00:00:00"/>
    <m/>
    <n v="1402000"/>
    <n v="0"/>
    <x v="1"/>
    <n v="2"/>
    <s v="40-49"/>
  </r>
  <r>
    <s v="E03863"/>
    <s v="Eve"/>
    <s v="Male"/>
    <n v="51"/>
    <s v="Field Eng"/>
    <x v="5"/>
    <s v="Products"/>
    <d v="2024-04-19T00:00:00"/>
    <m/>
    <n v="1404000"/>
    <n v="0"/>
    <x v="1"/>
    <n v="1"/>
    <s v="50-59"/>
  </r>
  <r>
    <s v="E02710"/>
    <s v="Enzo"/>
    <s v="Male"/>
    <n v="38"/>
    <s v="Sr. Analyst"/>
    <x v="0"/>
    <s v="R&amp;D"/>
    <d v="2020-09-09T00:00:00"/>
    <m/>
    <n v="1406000"/>
    <n v="0.08"/>
    <x v="1"/>
    <n v="5"/>
    <s v="30-39"/>
  </r>
  <r>
    <s v="E01895"/>
    <s v="lakai"/>
    <s v="Male"/>
    <n v="51"/>
    <s v="Net Admin"/>
    <x v="0"/>
    <s v="Manufacturing"/>
    <d v="2023-11-03T00:00:00"/>
    <m/>
    <n v="1408000"/>
    <n v="0"/>
    <x v="1"/>
    <n v="2"/>
    <s v="50-59"/>
  </r>
  <r>
    <s v="E01339"/>
    <s v="Monica"/>
    <s v="Male"/>
    <n v="39"/>
    <s v="Sr. Analyst"/>
    <x v="5"/>
    <s v="Manufacturing"/>
    <d v="2024-04-30T00:00:00"/>
    <m/>
    <n v="154892"/>
    <n v="7.0000000000000007E-2"/>
    <x v="1"/>
    <n v="1"/>
    <s v="30-39"/>
  </r>
  <r>
    <s v="E02938"/>
    <s v="Esteban"/>
    <s v="Female"/>
    <n v="31"/>
    <s v=" Dev Eng"/>
    <x v="0"/>
    <s v="Manufacturing"/>
    <d v="2020-02-26T00:00:00"/>
    <m/>
    <n v="243879"/>
    <n v="7.0000000000000007E-2"/>
    <x v="1"/>
    <n v="5"/>
    <s v="30-39"/>
  </r>
  <r>
    <s v="E03379"/>
    <s v="Remi"/>
    <s v="Male"/>
    <n v="45"/>
    <s v="Net Admin"/>
    <x v="0"/>
    <s v="Manufacturing"/>
    <d v="2022-09-11T00:00:00"/>
    <m/>
    <n v="271490"/>
    <n v="0"/>
    <x v="1"/>
    <n v="3"/>
    <s v="40-49"/>
  </r>
  <r>
    <s v="E02153"/>
    <s v="Journee"/>
    <s v="Female"/>
    <n v="50"/>
    <s v="Field Eng"/>
    <x v="2"/>
    <s v="Manufacturing"/>
    <d v="2024-05-18T00:00:00"/>
    <m/>
    <n v="284760"/>
    <n v="0.12"/>
    <x v="1"/>
    <n v="1"/>
    <s v="50-59"/>
  </r>
  <r>
    <s v="E00994"/>
    <s v="Ameer"/>
    <s v="Female"/>
    <n v="36"/>
    <s v="Auto Eng"/>
    <x v="0"/>
    <s v="Corporate"/>
    <d v="2021-11-09T00:00:00"/>
    <m/>
    <n v="519382"/>
    <n v="0"/>
    <x v="1"/>
    <n v="4"/>
    <s v="30-39"/>
  </r>
  <r>
    <s v="E00943"/>
    <s v="Ismael"/>
    <s v="Female"/>
    <n v="45"/>
    <s v=" Dev Eng"/>
    <x v="0"/>
    <s v="Products"/>
    <d v="2020-05-12T00:00:00"/>
    <m/>
    <n v="371296"/>
    <n v="0.26"/>
    <x v="1"/>
    <n v="5"/>
    <s v="40-49"/>
  </r>
  <r>
    <s v="E00869"/>
    <s v="Corinne"/>
    <s v="Female"/>
    <n v="46"/>
    <s v="Sr. Acc Rep"/>
    <x v="0"/>
    <s v="Manufacturing"/>
    <d v="2022-09-11T00:00:00"/>
    <m/>
    <n v="275439"/>
    <n v="0.13"/>
    <x v="1"/>
    <n v="3"/>
    <s v="40-49"/>
  </r>
  <r>
    <s v="E03457"/>
    <s v="Frederick"/>
    <s v="Male"/>
    <n v="41"/>
    <s v="Field Eng"/>
    <x v="4"/>
    <s v="R&amp;D"/>
    <d v="2022-10-23T00:00:00"/>
    <m/>
    <n v="318902"/>
    <n v="0"/>
    <x v="1"/>
    <n v="3"/>
    <s v="40-49"/>
  </r>
  <r>
    <s v="E02193"/>
    <s v="Richard"/>
    <s v="Female"/>
    <n v="47"/>
    <s v="Sr. Acc Rep"/>
    <x v="5"/>
    <s v="Manufacturing"/>
    <d v="2024-08-23T00:00:00"/>
    <m/>
    <n v="364982"/>
    <n v="0"/>
    <x v="1"/>
    <n v="1"/>
    <s v="40-49"/>
  </r>
  <r>
    <s v="E00577"/>
    <s v="Ayleen"/>
    <s v="Male"/>
    <n v="38"/>
    <s v="Auto Eng"/>
    <x v="3"/>
    <s v="Products"/>
    <d v="2023-11-07T00:00:00"/>
    <d v="2024-04-19T00:00:00"/>
    <n v="251398"/>
    <n v="0.08"/>
    <x v="0"/>
    <n v="0"/>
    <s v="30-39"/>
  </r>
  <r>
    <s v="E00538"/>
    <s v="Wells"/>
    <s v="Female"/>
    <n v="40"/>
    <s v="Auto Eng"/>
    <x v="0"/>
    <s v="R&amp;D"/>
    <d v="2023-10-07T00:00:00"/>
    <m/>
    <n v="195478"/>
    <n v="0"/>
    <x v="1"/>
    <n v="2"/>
    <s v="40-49"/>
  </r>
  <r>
    <s v="E01415"/>
    <s v="Daphne"/>
    <s v="Male"/>
    <n v="45"/>
    <s v="Sr. Manger"/>
    <x v="5"/>
    <s v="R&amp;D"/>
    <d v="2022-04-26T00:00:00"/>
    <m/>
    <n v="367920"/>
    <n v="0.1"/>
    <x v="1"/>
    <n v="3"/>
    <s v="40-49"/>
  </r>
  <r>
    <s v="E00717"/>
    <s v="Macy"/>
    <s v="Male"/>
    <n v="26"/>
    <s v="Sr. Manger"/>
    <x v="0"/>
    <s v="Corporate"/>
    <d v="2020-02-28T00:00:00"/>
    <d v="2022-09-11T00:00:00"/>
    <n v="295274"/>
    <n v="0"/>
    <x v="0"/>
    <n v="2"/>
    <s v="20-29"/>
  </r>
  <r>
    <s v="E00225"/>
    <s v="Thaddeus"/>
    <s v="Male"/>
    <n v="35"/>
    <s v="Sr. Manger"/>
    <x v="0"/>
    <s v="Corporate"/>
    <d v="2020-10-12T00:00:00"/>
    <m/>
    <n v="358972"/>
    <n v="0"/>
    <x v="1"/>
    <n v="5"/>
    <s v="30-39"/>
  </r>
  <r>
    <s v="E02889"/>
    <s v="Mariah"/>
    <s v="Female"/>
    <n v="51"/>
    <s v="Quality Eng"/>
    <x v="0"/>
    <s v="Products"/>
    <d v="2022-01-27T00:00:00"/>
    <m/>
    <n v="310294"/>
    <n v="0"/>
    <x v="1"/>
    <n v="4"/>
    <s v="50-59"/>
  </r>
  <r>
    <s v="E04978"/>
    <s v="Kaison"/>
    <s v="Male"/>
    <n v="35"/>
    <s v="Sr. Manger"/>
    <x v="1"/>
    <s v="Corporate"/>
    <d v="2024-02-15T00:00:00"/>
    <m/>
    <n v="375480"/>
    <n v="0"/>
    <x v="1"/>
    <n v="1"/>
    <s v="30-39"/>
  </r>
  <r>
    <s v="E04163"/>
    <s v="Shawn"/>
    <s v="Female"/>
    <n v="51"/>
    <s v="IT Coord"/>
    <x v="0"/>
    <s v="Products"/>
    <d v="2024-02-10T00:00:00"/>
    <m/>
    <n v="253972"/>
    <n v="0"/>
    <x v="1"/>
    <n v="2"/>
    <s v="50-59"/>
  </r>
  <r>
    <s v="E01652"/>
    <s v="Harmoni"/>
    <s v="Male"/>
    <n v="51"/>
    <s v="Quality Eng"/>
    <x v="1"/>
    <s v="R&amp;D"/>
    <d v="2020-12-18T00:00:00"/>
    <m/>
    <n v="265870"/>
    <n v="0"/>
    <x v="1"/>
    <n v="5"/>
    <s v="50-59"/>
  </r>
  <r>
    <s v="E00880"/>
    <s v="Dominick"/>
    <s v="Male"/>
    <n v="51"/>
    <s v="Quality Eng"/>
    <x v="0"/>
    <s v="Products"/>
    <d v="2020-01-07T00:00:00"/>
    <m/>
    <n v="154396"/>
    <n v="0"/>
    <x v="1"/>
    <n v="6"/>
    <s v="50-59"/>
  </r>
  <r>
    <s v="E04335"/>
    <s v="Kylie"/>
    <s v="Male"/>
    <n v="51"/>
    <s v="Ops Eng"/>
    <x v="0"/>
    <s v="R&amp;D"/>
    <d v="2023-10-07T00:00:00"/>
    <m/>
    <n v="413290"/>
    <n v="0"/>
    <x v="1"/>
    <n v="2"/>
    <s v="50-59"/>
  </r>
  <r>
    <s v="E01300"/>
    <s v="Finnegan"/>
    <s v="Male"/>
    <n v="36"/>
    <s v="IT Coord"/>
    <x v="2"/>
    <s v="R&amp;D"/>
    <d v="2021-10-18T00:00:00"/>
    <m/>
    <n v="375420"/>
    <n v="0"/>
    <x v="1"/>
    <n v="4"/>
    <s v="30-39"/>
  </r>
  <r>
    <s v="E03102"/>
    <s v="Scarlet"/>
    <s v="Male"/>
    <n v="45"/>
    <s v="Ops Eng"/>
    <x v="3"/>
    <s v="Products"/>
    <d v="2022-08-18T00:00:00"/>
    <m/>
    <n v="286739"/>
    <n v="0"/>
    <x v="1"/>
    <n v="3"/>
    <s v="40-49"/>
  </r>
  <r>
    <s v="E04089"/>
    <s v="Jayce"/>
    <s v="Male"/>
    <n v="37"/>
    <s v="Ops Eng"/>
    <x v="4"/>
    <s v="Corporate"/>
    <d v="2024-05-28T00:00:00"/>
    <m/>
    <n v="295374"/>
    <n v="0"/>
    <x v="1"/>
    <n v="1"/>
    <s v="30-39"/>
  </r>
  <r>
    <s v="E02059"/>
    <s v="Andi"/>
    <s v="Female"/>
    <n v="38"/>
    <s v="IT Coord"/>
    <x v="0"/>
    <s v="Manufacturing"/>
    <d v="2022-09-07T00:00:00"/>
    <m/>
    <n v="312874"/>
    <n v="0"/>
    <x v="1"/>
    <n v="3"/>
    <s v="30-39"/>
  </r>
  <r>
    <s v="E03894"/>
    <s v="Keaton"/>
    <s v="Male"/>
    <n v="45"/>
    <s v="Auto Eng"/>
    <x v="3"/>
    <s v="Manufacturing"/>
    <d v="2024-01-03T00:00:00"/>
    <m/>
    <n v="350974"/>
    <n v="0"/>
    <x v="1"/>
    <n v="2"/>
    <s v="40-49"/>
  </r>
  <r>
    <s v="E03106"/>
    <s v="Warren"/>
    <s v="Female"/>
    <n v="51"/>
    <s v=" Dev Eng"/>
    <x v="5"/>
    <s v="R&amp;D"/>
    <d v="2023-05-28T00:00:00"/>
    <d v="2024-02-15T00:00:00"/>
    <n v="278964"/>
    <n v="0.06"/>
    <x v="0"/>
    <n v="0"/>
    <s v="50-59"/>
  </r>
  <r>
    <s v="E01350"/>
    <s v="Sara"/>
    <s v="Male"/>
    <n v="56"/>
    <s v="Sr. Analyst"/>
    <x v="0"/>
    <s v="Products"/>
    <d v="2023-11-15T00:00:00"/>
    <d v="2024-01-03T00:00:00"/>
    <n v="543290"/>
    <n v="0.05"/>
    <x v="0"/>
    <n v="0"/>
    <s v="50-59"/>
  </r>
  <r>
    <s v="E02900"/>
    <s v="Terry"/>
    <s v="Male"/>
    <n v="53"/>
    <s v="Quality Eng"/>
    <x v="0"/>
    <s v="R&amp;D"/>
    <d v="2020-01-21T00:00:00"/>
    <d v="2023-10-07T00:00:00"/>
    <n v="415290"/>
    <n v="0"/>
    <x v="0"/>
    <n v="3"/>
    <s v="50-59"/>
  </r>
  <r>
    <s v="E02202"/>
    <s v="Shelby"/>
    <s v="Female"/>
    <n v="47"/>
    <s v="Ops Eng"/>
    <x v="0"/>
    <s v="Corporate"/>
    <d v="2023-10-07T00:00:00"/>
    <m/>
    <n v="271890"/>
    <n v="0.13"/>
    <x v="1"/>
    <n v="2"/>
    <s v="40-49"/>
  </r>
  <r>
    <s v="E02696"/>
    <s v="Colt"/>
    <s v="Male"/>
    <n v="36"/>
    <s v="Field Eng"/>
    <x v="5"/>
    <s v="Products"/>
    <d v="2024-04-19T00:00:00"/>
    <m/>
    <n v="429871"/>
    <n v="0.2"/>
    <x v="1"/>
    <n v="1"/>
    <s v="30-39"/>
  </r>
  <r>
    <s v="E01722"/>
    <s v="Memphis"/>
    <s v="Male"/>
    <n v="41"/>
    <s v="Sr. Analyst"/>
    <x v="0"/>
    <s v="R&amp;D"/>
    <d v="2020-09-09T00:00:00"/>
    <m/>
    <n v="354782"/>
    <n v="0"/>
    <x v="1"/>
    <n v="5"/>
    <s v="40-49"/>
  </r>
  <r>
    <s v="E04562"/>
    <s v="Vivienne"/>
    <s v="Male"/>
    <n v="46"/>
    <s v="Net Admin"/>
    <x v="0"/>
    <s v="Manufacturing"/>
    <d v="2023-11-03T00:00:00"/>
    <m/>
    <n v="415972"/>
    <n v="0"/>
    <x v="1"/>
    <n v="2"/>
    <s v="40-49"/>
  </r>
  <r>
    <s v="E00640"/>
    <s v="Thatcher"/>
    <s v="Male"/>
    <n v="46"/>
    <s v="Sr. Analyst"/>
    <x v="5"/>
    <s v="Manufacturing"/>
    <d v="2024-04-30T00:00:00"/>
    <m/>
    <n v="251472"/>
    <n v="0"/>
    <x v="1"/>
    <n v="1"/>
    <s v="40-49"/>
  </r>
  <r>
    <s v="E02554"/>
    <s v="Annalise"/>
    <s v="Female"/>
    <n v="38"/>
    <s v=" Dev Eng"/>
    <x v="0"/>
    <s v="Manufacturing"/>
    <d v="2020-02-26T00:00:00"/>
    <m/>
    <n v="358974"/>
    <n v="0"/>
    <x v="0"/>
    <n v="5"/>
    <s v="30-39"/>
  </r>
  <r>
    <s v="E03412"/>
    <s v="Morgan"/>
    <s v="Male"/>
    <n v="46"/>
    <s v="Net Admin"/>
    <x v="0"/>
    <s v="Manufacturing"/>
    <d v="2022-09-11T00:00:00"/>
    <d v="2023-05-28T00:00:00"/>
    <n v="154928"/>
    <n v="0.09"/>
    <x v="1"/>
    <n v="0"/>
    <s v="40-49"/>
  </r>
  <r>
    <s v="E00646"/>
    <s v="Nixon"/>
    <s v="Female"/>
    <n v="39"/>
    <s v="Field Eng"/>
    <x v="2"/>
    <s v="Manufacturing"/>
    <d v="2023-05-18T00:00:00"/>
    <d v="2024-04-19T00:00:00"/>
    <n v="162493"/>
    <n v="0"/>
    <x v="0"/>
    <n v="0"/>
    <s v="30-39"/>
  </r>
  <r>
    <s v="E04670"/>
    <s v="Colette"/>
    <s v="Female"/>
    <n v="31"/>
    <s v="Auto Eng"/>
    <x v="0"/>
    <s v="Corporate"/>
    <d v="2021-11-09T00:00:00"/>
    <m/>
    <n v="364972"/>
    <n v="0.15"/>
    <x v="1"/>
    <n v="4"/>
    <s v="30-39"/>
  </r>
  <r>
    <s v="E03580"/>
    <s v="Eduardo"/>
    <s v="Female"/>
    <n v="45"/>
    <s v=" Dev Eng"/>
    <x v="0"/>
    <s v="Products"/>
    <d v="2020-05-12T00:00:00"/>
    <m/>
    <n v="154873"/>
    <n v="0"/>
    <x v="1"/>
    <n v="5"/>
    <s v="40-49"/>
  </r>
  <r>
    <s v="E00446"/>
    <s v="Winter"/>
    <s v="Female"/>
    <n v="50"/>
    <s v="Sr. Acc Rep"/>
    <x v="0"/>
    <s v="Manufacturing"/>
    <d v="2022-09-11T00:00:00"/>
    <m/>
    <n v="347920"/>
    <n v="0.26"/>
    <x v="1"/>
    <n v="3"/>
    <s v="50-59"/>
  </r>
  <r>
    <s v="E02363"/>
    <s v="Anastasia"/>
    <s v="Female"/>
    <n v="36"/>
    <s v="Field Eng"/>
    <x v="4"/>
    <s v="R&amp;D"/>
    <d v="2022-10-23T00:00:00"/>
    <d v="2024-04-30T00:00:00"/>
    <n v="371928"/>
    <n v="0"/>
    <x v="0"/>
    <n v="1"/>
    <s v="30-39"/>
  </r>
  <r>
    <s v="E03718"/>
    <s v="Magnus"/>
    <s v="Male"/>
    <n v="45"/>
    <s v="Sr. Acc Rep"/>
    <x v="5"/>
    <s v="Manufacturing"/>
    <d v="2024-08-23T00:00:00"/>
    <m/>
    <n v="283794"/>
    <n v="0.12"/>
    <x v="1"/>
    <n v="1"/>
    <s v="40-49"/>
  </r>
  <r>
    <s v="E01749"/>
    <s v="Cleo"/>
    <s v="Female"/>
    <n v="29"/>
    <s v="Auto Eng"/>
    <x v="3"/>
    <s v="Products"/>
    <d v="2023-11-07T00:00:00"/>
    <d v="2024-05-18T00:00:00"/>
    <n v="254983"/>
    <n v="0"/>
    <x v="0"/>
    <n v="0"/>
    <s v="20-29"/>
  </r>
  <r>
    <s v="E02888"/>
    <s v="Jalen"/>
    <s v="Male"/>
    <n v="46"/>
    <s v="Auto Eng"/>
    <x v="0"/>
    <s v="R&amp;D"/>
    <d v="2023-10-07T00:00:00"/>
    <m/>
    <n v="145972"/>
    <n v="0"/>
    <x v="1"/>
    <n v="2"/>
    <s v="40-49"/>
  </r>
  <r>
    <s v="E01338"/>
    <s v="Carolina"/>
    <s v="Female"/>
    <n v="47"/>
    <s v="Sr. Manger"/>
    <x v="5"/>
    <s v="R&amp;D"/>
    <d v="2022-04-26T00:00:00"/>
    <m/>
    <n v="306491"/>
    <n v="0"/>
    <x v="1"/>
    <n v="3"/>
    <s v="40-49"/>
  </r>
  <r>
    <s v="E03000"/>
    <s v="Archer"/>
    <s v="Male"/>
    <n v="38"/>
    <s v="Sr. Manger"/>
    <x v="0"/>
    <s v="Corporate"/>
    <d v="2020-02-28T00:00:00"/>
    <d v="2022-09-11T00:00:00"/>
    <n v="290478"/>
    <n v="0.08"/>
    <x v="0"/>
    <n v="2"/>
    <s v="30-39"/>
  </r>
  <r>
    <s v="E01611"/>
    <s v="Jovie"/>
    <s v="Male"/>
    <n v="40"/>
    <s v="Sr. Manger"/>
    <x v="0"/>
    <s v="Corporate"/>
    <d v="2020-10-12T00:00:00"/>
    <d v="2023-10-07T00:00:00"/>
    <n v="374820"/>
    <n v="0"/>
    <x v="0"/>
    <n v="2"/>
    <s v="40-49"/>
  </r>
  <r>
    <s v="E02684"/>
    <s v="Kade"/>
    <s v="Male"/>
    <n v="46"/>
    <s v="Quality Eng"/>
    <x v="0"/>
    <s v="Products"/>
    <d v="2022-01-27T00:00:00"/>
    <m/>
    <n v="367394"/>
    <n v="7.0000000000000007E-2"/>
    <x v="1"/>
    <n v="4"/>
    <s v="40-49"/>
  </r>
  <r>
    <s v="E02561"/>
    <s v="Cassidy"/>
    <s v="Female"/>
    <n v="26"/>
    <s v="Sr. Manger"/>
    <x v="1"/>
    <s v="Corporate"/>
    <d v="2020-02-15T00:00:00"/>
    <d v="2024-05-28T00:00:00"/>
    <n v="416273"/>
    <n v="7.0000000000000007E-2"/>
    <x v="0"/>
    <n v="4"/>
    <s v="20-29"/>
  </r>
  <r>
    <s v="E03168"/>
    <s v="Colby"/>
    <s v="Male"/>
    <n v="35"/>
    <s v="IT Coord"/>
    <x v="0"/>
    <s v="Products"/>
    <d v="2024-02-10T00:00:00"/>
    <m/>
    <n v="320879"/>
    <n v="0"/>
    <x v="1"/>
    <n v="2"/>
    <s v="30-39"/>
  </r>
  <r>
    <s v="E00758"/>
    <s v="Persephone"/>
    <s v="Female"/>
    <n v="51"/>
    <s v="Quality Eng"/>
    <x v="1"/>
    <s v="R&amp;D"/>
    <d v="2020-12-18T00:00:00"/>
    <m/>
    <n v="290376"/>
    <n v="0.12"/>
    <x v="1"/>
    <n v="5"/>
    <s v="50-59"/>
  </r>
  <r>
    <s v="E03691"/>
    <s v="Abraham"/>
    <s v="Male"/>
    <n v="35"/>
    <s v="Quality Eng"/>
    <x v="0"/>
    <s v="Products"/>
    <d v="2020-01-07T00:00:00"/>
    <m/>
    <n v="416920"/>
    <n v="0"/>
    <x v="1"/>
    <n v="6"/>
    <s v="30-39"/>
  </r>
  <r>
    <s v="E01488"/>
    <s v="Noa"/>
    <s v="Male"/>
    <n v="46"/>
    <s v="Ops Eng"/>
    <x v="0"/>
    <s v="R&amp;D"/>
    <d v="2023-10-07T00:00:00"/>
    <m/>
    <n v="527380"/>
    <n v="0.26"/>
    <x v="1"/>
    <n v="2"/>
    <s v="40-49"/>
  </r>
  <r>
    <s v="E04415"/>
    <s v="Crew"/>
    <s v="Male"/>
    <n v="46"/>
    <s v="IT Coord"/>
    <x v="2"/>
    <s v="R&amp;D"/>
    <d v="2021-10-18T00:00:00"/>
    <m/>
    <n v="154927"/>
    <n v="0.13"/>
    <x v="1"/>
    <n v="4"/>
    <s v="40-49"/>
  </r>
  <r>
    <s v="E03278"/>
    <s v="Zaylee"/>
    <s v="Male"/>
    <n v="27"/>
    <s v="Ops Eng"/>
    <x v="3"/>
    <s v="Products"/>
    <d v="2022-08-18T00:00:00"/>
    <d v="2024-02-15T00:00:00"/>
    <n v="263479"/>
    <n v="0"/>
    <x v="0"/>
    <n v="1"/>
    <s v="20-29"/>
  </r>
  <r>
    <s v="E00282"/>
    <s v="Holden"/>
    <s v="Male"/>
    <n v="30"/>
    <s v="Ops Eng"/>
    <x v="4"/>
    <s v="Corporate"/>
    <d v="2020-05-28T00:00:00"/>
    <d v="2024-01-03T00:00:00"/>
    <n v="278394"/>
    <n v="0"/>
    <x v="0"/>
    <n v="3"/>
    <s v="30-39"/>
  </r>
  <r>
    <s v="E03305"/>
    <s v="Mackenzie"/>
    <s v="Male"/>
    <n v="36"/>
    <s v="IT Coord"/>
    <x v="0"/>
    <s v="Manufacturing"/>
    <d v="2022-09-07T00:00:00"/>
    <d v="2023-10-07T00:00:00"/>
    <n v="253478"/>
    <n v="0.08"/>
    <x v="0"/>
    <n v="1"/>
    <s v="30-39"/>
  </r>
  <r>
    <s v="E00559"/>
    <s v="Hank"/>
    <s v="Female"/>
    <n v="45"/>
    <s v="Auto Eng"/>
    <x v="3"/>
    <s v="Manufacturing"/>
    <d v="2022-01-03T00:00:00"/>
    <d v="2023-05-28T00:00:00"/>
    <n v="254970"/>
    <n v="0"/>
    <x v="0"/>
    <n v="1"/>
    <s v="40-49"/>
  </r>
  <r>
    <s v="E02558"/>
    <s v="Mara"/>
    <s v="Male"/>
    <n v="37"/>
    <s v=" Dev Eng"/>
    <x v="5"/>
    <s v="R&amp;D"/>
    <d v="2023-05-28T00:00:00"/>
    <d v="2024-04-19T00:00:00"/>
    <n v="348920"/>
    <n v="0.1"/>
    <x v="0"/>
    <n v="0"/>
    <s v="30-39"/>
  </r>
  <r>
    <s v="E00956"/>
    <s v="Nasir"/>
    <s v="Female"/>
    <n v="51"/>
    <s v="Sr. Analyst"/>
    <x v="0"/>
    <s v="Products"/>
    <d v="2023-11-15T00:00:00"/>
    <d v="2024-04-30T00:00:00"/>
    <n v="290379"/>
    <n v="0"/>
    <x v="0"/>
    <n v="0"/>
    <s v="50-59"/>
  </r>
  <r>
    <s v="E03858"/>
    <s v="Jennifer"/>
    <s v="Male"/>
    <n v="56"/>
    <s v="Quality Eng"/>
    <x v="0"/>
    <s v="R&amp;D"/>
    <d v="2020-01-21T00:00:00"/>
    <d v="2024-05-18T00:00:00"/>
    <n v="315490"/>
    <n v="0"/>
    <x v="0"/>
    <n v="4"/>
    <s v="50-59"/>
  </r>
  <r>
    <s v="E02221"/>
    <s v="Dexter"/>
    <s v="Male"/>
    <n v="53"/>
    <s v="Ops Eng"/>
    <x v="0"/>
    <s v="Corporate"/>
    <d v="2021-10-07T00:00:00"/>
    <d v="2022-09-11T00:00:00"/>
    <n v="172398"/>
    <n v="0"/>
    <x v="0"/>
    <n v="0"/>
    <s v="50-59"/>
  </r>
  <r>
    <s v="E00126"/>
    <s v="Luella"/>
    <s v="Female"/>
    <n v="47"/>
    <s v="Field Eng"/>
    <x v="5"/>
    <s v="Products"/>
    <d v="2020-04-19T00:00:00"/>
    <d v="2023-10-07T00:00:00"/>
    <n v="310274"/>
    <n v="0"/>
    <x v="0"/>
    <n v="3"/>
    <s v="40-49"/>
  </r>
  <r>
    <s v="E02627"/>
    <s v="Bjorn"/>
    <s v="Male"/>
    <n v="36"/>
    <s v="Sr. Analyst"/>
    <x v="0"/>
    <s v="R&amp;D"/>
    <d v="2020-09-09T00:00:00"/>
    <d v="2024-05-28T00:00:00"/>
    <n v="371486"/>
    <n v="0"/>
    <x v="0"/>
    <n v="3"/>
    <s v="30-39"/>
  </r>
  <r>
    <s v="E03778"/>
    <s v="Lena"/>
    <s v="Male"/>
    <n v="46"/>
    <s v="Net Admin"/>
    <x v="0"/>
    <s v="Manufacturing"/>
    <d v="2023-11-03T00:00:00"/>
    <m/>
    <n v="164920"/>
    <n v="0"/>
    <x v="1"/>
    <n v="2"/>
    <s v="40-49"/>
  </r>
  <r>
    <s v="E00481"/>
    <s v="Ryder"/>
    <s v="Male"/>
    <n v="46"/>
    <s v="Sr. Analyst"/>
    <x v="5"/>
    <s v="Manufacturing"/>
    <d v="2024-04-30T00:00:00"/>
    <m/>
    <n v="274893"/>
    <n v="0"/>
    <x v="1"/>
    <n v="1"/>
    <s v="40-49"/>
  </r>
  <r>
    <s v="E02833"/>
    <s v="Lola"/>
    <s v="Male"/>
    <n v="46"/>
    <s v=" Dev Eng"/>
    <x v="0"/>
    <s v="Manufacturing"/>
    <d v="2020-02-26T00:00:00"/>
    <m/>
    <n v="293476"/>
    <n v="0"/>
    <x v="1"/>
    <n v="5"/>
    <s v="40-49"/>
  </r>
  <r>
    <s v="E03902"/>
    <s v="Salem"/>
    <s v="Female"/>
    <n v="38"/>
    <s v="Net Admin"/>
    <x v="0"/>
    <s v="Manufacturing"/>
    <d v="2022-09-11T00:00:00"/>
    <m/>
    <n v="315278"/>
    <n v="0"/>
    <x v="1"/>
    <n v="3"/>
    <s v="30-39"/>
  </r>
  <r>
    <s v="E02310"/>
    <s v="Mckenzie"/>
    <s v="Male"/>
    <n v="46"/>
    <s v="Field Eng"/>
    <x v="2"/>
    <s v="Manufacturing"/>
    <d v="2024-05-18T00:00:00"/>
    <m/>
    <n v="241879"/>
    <n v="0"/>
    <x v="1"/>
    <n v="1"/>
    <s v="40-49"/>
  </r>
  <r>
    <s v="E02661"/>
    <s v="Miriam"/>
    <s v="Female"/>
    <n v="39"/>
    <s v="Auto Eng"/>
    <x v="0"/>
    <s v="Corporate"/>
    <d v="2021-11-09T00:00:00"/>
    <m/>
    <n v="153928"/>
    <n v="0"/>
    <x v="1"/>
    <n v="4"/>
    <s v="30-39"/>
  </r>
  <r>
    <s v="E00836"/>
    <s v="Ishaan"/>
    <s v="Female"/>
    <n v="31"/>
    <s v=" Dev Eng"/>
    <x v="0"/>
    <s v="Products"/>
    <d v="2020-05-12T00:00:00"/>
    <m/>
    <n v="520294"/>
    <n v="0"/>
    <x v="1"/>
    <n v="5"/>
    <s v="30-39"/>
  </r>
  <r>
    <s v="E00682"/>
    <s v="Norah"/>
    <s v="Female"/>
    <n v="45"/>
    <s v="Sr. Acc Rep"/>
    <x v="0"/>
    <s v="Manufacturing"/>
    <d v="2022-09-11T00:00:00"/>
    <m/>
    <n v="146279"/>
    <n v="0"/>
    <x v="1"/>
    <n v="3"/>
    <s v="40-49"/>
  </r>
  <r>
    <s v="E00287"/>
    <s v="Donald"/>
    <s v="Female"/>
    <n v="50"/>
    <s v="Field Eng"/>
    <x v="4"/>
    <s v="R&amp;D"/>
    <d v="2022-10-23T00:00:00"/>
    <m/>
    <n v="357490"/>
    <n v="0.06"/>
    <x v="1"/>
    <n v="3"/>
    <s v="50-59"/>
  </r>
  <r>
    <s v="E00785"/>
    <s v="Calum"/>
    <s v="Male"/>
    <n v="36"/>
    <s v="Sr. Acc Rep"/>
    <x v="5"/>
    <s v="Manufacturing"/>
    <d v="2024-08-23T00:00:00"/>
    <m/>
    <n v="350927"/>
    <n v="0.05"/>
    <x v="1"/>
    <n v="1"/>
    <s v="30-39"/>
  </r>
  <r>
    <s v="E04598"/>
    <s v="Liberty"/>
    <s v="Female"/>
    <n v="45"/>
    <s v="Auto Eng"/>
    <x v="3"/>
    <s v="Products"/>
    <d v="2023-11-07T00:00:00"/>
    <m/>
    <n v="216478"/>
    <n v="0"/>
    <x v="1"/>
    <n v="2"/>
    <s v="40-49"/>
  </r>
  <r>
    <s v="E03247"/>
    <s v="Musa"/>
    <s v="Male"/>
    <n v="46"/>
    <s v="Auto Eng"/>
    <x v="0"/>
    <s v="R&amp;D"/>
    <d v="2023-10-07T00:00:00"/>
    <m/>
    <n v="354979"/>
    <n v="0.13"/>
    <x v="1"/>
    <n v="2"/>
    <s v="40-49"/>
  </r>
  <r>
    <s v="E02703"/>
    <s v="Deandre"/>
    <s v="Female"/>
    <n v="41"/>
    <s v="Sr. Manger"/>
    <x v="5"/>
    <s v="R&amp;D"/>
    <d v="2022-04-26T00:00:00"/>
    <d v="2024-05-28T00:00:00"/>
    <n v="372960"/>
    <n v="0.2"/>
    <x v="0"/>
    <n v="2"/>
    <s v="40-49"/>
  </r>
  <r>
    <s v="E02191"/>
    <s v="Jonas"/>
    <s v="Male"/>
    <n v="47"/>
    <s v="Sr. Manger"/>
    <x v="0"/>
    <s v="Corporate"/>
    <d v="2020-02-28T00:00:00"/>
    <d v="2023-10-07T00:00:00"/>
    <n v="315479"/>
    <n v="0"/>
    <x v="0"/>
    <n v="3"/>
    <s v="40-49"/>
  </r>
  <r>
    <s v="E00156"/>
    <s v="Blaise"/>
    <s v="Male"/>
    <n v="38"/>
    <s v="Sr. Manger"/>
    <x v="0"/>
    <s v="Corporate"/>
    <d v="2020-10-12T00:00:00"/>
    <m/>
    <n v="284769"/>
    <n v="0"/>
    <x v="1"/>
    <n v="5"/>
    <s v="30-39"/>
  </r>
  <r>
    <s v="E03349"/>
    <s v="Melani"/>
    <s v="Male"/>
    <n v="40"/>
    <s v="Quality Eng"/>
    <x v="0"/>
    <s v="Products"/>
    <d v="2022-01-27T00:00:00"/>
    <m/>
    <n v="467829"/>
    <n v="0"/>
    <x v="1"/>
    <n v="4"/>
    <s v="40-49"/>
  </r>
  <r>
    <s v="E04032"/>
    <s v="Kevin"/>
    <s v="Female"/>
    <n v="45"/>
    <s v="Sr. Manger"/>
    <x v="1"/>
    <s v="Corporate"/>
    <d v="2024-02-15T00:00:00"/>
    <m/>
    <n v="325780"/>
    <n v="0"/>
    <x v="1"/>
    <n v="1"/>
    <s v="40-49"/>
  </r>
  <r>
    <s v="E00005"/>
    <s v="Rebecca"/>
    <s v="Male"/>
    <n v="26"/>
    <s v="IT Coord"/>
    <x v="0"/>
    <s v="Products"/>
    <d v="2022-02-10T00:00:00"/>
    <d v="2024-05-28T00:00:00"/>
    <n v="203948"/>
    <n v="0.09"/>
    <x v="0"/>
    <n v="2"/>
    <s v="20-29"/>
  </r>
  <r>
    <s v="E04354"/>
    <s v="Judith"/>
    <s v="Female"/>
    <n v="35"/>
    <s v="Quality Eng"/>
    <x v="1"/>
    <s v="R&amp;D"/>
    <d v="2020-12-18T00:00:00"/>
    <m/>
    <n v="275394"/>
    <n v="0"/>
    <x v="1"/>
    <n v="5"/>
    <s v="30-39"/>
  </r>
  <r>
    <s v="E01578"/>
    <s v="Boston"/>
    <s v="Male"/>
    <n v="46"/>
    <s v="Quality Eng"/>
    <x v="0"/>
    <s v="Products"/>
    <d v="2020-01-07T00:00:00"/>
    <m/>
    <n v="241896"/>
    <n v="0.15"/>
    <x v="1"/>
    <n v="6"/>
    <s v="40-49"/>
  </r>
  <r>
    <s v="E03430"/>
    <s v="Laurel"/>
    <s v="Male"/>
    <n v="35"/>
    <s v="Ops Eng"/>
    <x v="0"/>
    <s v="R&amp;D"/>
    <d v="2023-10-07T00:00:00"/>
    <m/>
    <n v="314920"/>
    <n v="0"/>
    <x v="1"/>
    <n v="2"/>
    <s v="30-39"/>
  </r>
  <r>
    <s v="E03058"/>
    <s v="Kyree"/>
    <s v="Male"/>
    <n v="46"/>
    <s v="IT Coord"/>
    <x v="2"/>
    <s v="R&amp;D"/>
    <d v="2021-10-18T00:00:00"/>
    <m/>
    <n v="245973"/>
    <n v="0.26"/>
    <x v="1"/>
    <n v="4"/>
    <s v="40-49"/>
  </r>
  <r>
    <s v="E04762"/>
    <s v="Ivanna"/>
    <s v="Male"/>
    <n v="46"/>
    <s v="Ops Eng"/>
    <x v="3"/>
    <s v="Products"/>
    <d v="2022-08-18T00:00:00"/>
    <m/>
    <n v="186470"/>
    <n v="0"/>
    <x v="1"/>
    <n v="3"/>
    <s v="40-49"/>
  </r>
  <r>
    <s v="E01148"/>
    <s v="Santino"/>
    <s v="Male"/>
    <n v="46"/>
    <s v="Ops Eng"/>
    <x v="4"/>
    <s v="Corporate"/>
    <d v="2024-05-28T00:00:00"/>
    <m/>
    <n v="162398"/>
    <n v="0.12"/>
    <x v="1"/>
    <n v="1"/>
    <s v="40-49"/>
  </r>
  <r>
    <s v="E03094"/>
    <s v="Kasen"/>
    <s v="Male"/>
    <n v="46"/>
    <s v="IT Coord"/>
    <x v="0"/>
    <s v="Manufacturing"/>
    <d v="2022-09-07T00:00:00"/>
    <m/>
    <n v="371972"/>
    <n v="0"/>
    <x v="1"/>
    <n v="3"/>
    <s v="40-49"/>
  </r>
  <r>
    <s v="E01909"/>
    <s v="Dani"/>
    <s v="Female"/>
    <n v="36"/>
    <s v="Auto Eng"/>
    <x v="3"/>
    <s v="Manufacturing"/>
    <d v="2024-01-03T00:00:00"/>
    <m/>
    <n v="270384"/>
    <n v="0"/>
    <x v="1"/>
    <n v="2"/>
    <s v="30-39"/>
  </r>
  <r>
    <s v="E04398"/>
    <s v="Noe"/>
    <s v="Male"/>
    <n v="46"/>
    <s v=" Dev Eng"/>
    <x v="5"/>
    <s v="R&amp;D"/>
    <d v="2023-05-28T00:00:00"/>
    <m/>
    <n v="174290"/>
    <n v="0"/>
    <x v="1"/>
    <n v="2"/>
    <s v="40-49"/>
  </r>
  <r>
    <s v="E02521"/>
    <s v="Carmen"/>
    <s v="Female"/>
    <n v="37"/>
    <s v="Sr. Analyst"/>
    <x v="0"/>
    <s v="Products"/>
    <d v="2023-11-15T00:00:00"/>
    <m/>
    <n v="126492"/>
    <n v="0.08"/>
    <x v="1"/>
    <n v="2"/>
    <s v="30-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3">
  <r>
    <x v="0"/>
    <x v="0"/>
    <x v="0"/>
    <x v="0"/>
    <s v="Auto Eng"/>
    <s v="Engineering"/>
    <x v="0"/>
    <d v="2020-10-12T00:00:00"/>
    <d v="2022-10-23T00:00:00"/>
    <n v="10000"/>
    <n v="0"/>
    <s v="Inactive"/>
    <n v="2"/>
    <x v="0"/>
  </r>
  <r>
    <x v="1"/>
    <x v="1"/>
    <x v="1"/>
    <x v="1"/>
    <s v=" Dev Eng"/>
    <s v="Engineering"/>
    <x v="1"/>
    <d v="2022-01-27T00:00:00"/>
    <m/>
    <n v="10000"/>
    <n v="0"/>
    <s v="Active"/>
    <n v="4"/>
    <x v="1"/>
  </r>
  <r>
    <x v="2"/>
    <x v="2"/>
    <x v="0"/>
    <x v="2"/>
    <s v="Sr. Acc Rep"/>
    <s v="Sales"/>
    <x v="0"/>
    <d v="2024-02-15T00:00:00"/>
    <m/>
    <n v="12000"/>
    <n v="0"/>
    <s v="Active"/>
    <n v="1"/>
    <x v="0"/>
  </r>
  <r>
    <x v="3"/>
    <x v="3"/>
    <x v="1"/>
    <x v="3"/>
    <s v="Field Eng"/>
    <s v="Engineering"/>
    <x v="1"/>
    <d v="2024-02-10T00:00:00"/>
    <m/>
    <n v="14000"/>
    <n v="0"/>
    <s v="Active"/>
    <n v="2"/>
    <x v="1"/>
  </r>
  <r>
    <x v="4"/>
    <x v="4"/>
    <x v="0"/>
    <x v="3"/>
    <s v="Sr. Acc Rep"/>
    <s v="Sales"/>
    <x v="2"/>
    <d v="2020-12-18T00:00:00"/>
    <d v="2024-05-18T00:00:00"/>
    <n v="16000"/>
    <n v="0"/>
    <s v="Inactive"/>
    <n v="3"/>
    <x v="1"/>
  </r>
  <r>
    <x v="5"/>
    <x v="5"/>
    <x v="1"/>
    <x v="4"/>
    <s v="Auto Eng"/>
    <s v="Engineering"/>
    <x v="1"/>
    <d v="2020-01-07T00:00:00"/>
    <d v="2024-05-18T00:00:00"/>
    <n v="18000"/>
    <n v="0.15"/>
    <s v="Inactive"/>
    <n v="4"/>
    <x v="1"/>
  </r>
  <r>
    <x v="6"/>
    <x v="6"/>
    <x v="0"/>
    <x v="5"/>
    <s v="Auto Eng"/>
    <s v="Engineering"/>
    <x v="2"/>
    <d v="2023-10-07T00:00:00"/>
    <m/>
    <n v="20000"/>
    <n v="0"/>
    <s v="Active"/>
    <n v="2"/>
    <x v="2"/>
  </r>
  <r>
    <x v="7"/>
    <x v="7"/>
    <x v="1"/>
    <x v="6"/>
    <s v="Sr. Manger"/>
    <s v="Finance"/>
    <x v="2"/>
    <d v="2021-10-18T00:00:00"/>
    <m/>
    <n v="22000"/>
    <n v="0.11"/>
    <s v="Active"/>
    <n v="4"/>
    <x v="1"/>
  </r>
  <r>
    <x v="8"/>
    <x v="8"/>
    <x v="0"/>
    <x v="7"/>
    <s v="Sr. Manger"/>
    <s v="Marketing"/>
    <x v="1"/>
    <d v="2022-08-18T00:00:00"/>
    <m/>
    <n v="24000"/>
    <n v="0.12"/>
    <s v="Active"/>
    <n v="3"/>
    <x v="1"/>
  </r>
  <r>
    <x v="9"/>
    <x v="9"/>
    <x v="0"/>
    <x v="8"/>
    <s v="Sr. Manger"/>
    <s v="Accounting"/>
    <x v="0"/>
    <d v="2024-05-28T00:00:00"/>
    <m/>
    <n v="26000"/>
    <n v="0"/>
    <s v="Active"/>
    <n v="1"/>
    <x v="0"/>
  </r>
  <r>
    <x v="10"/>
    <x v="10"/>
    <x v="0"/>
    <x v="9"/>
    <s v="Quality Eng"/>
    <s v="Engineering"/>
    <x v="3"/>
    <d v="2022-09-07T00:00:00"/>
    <m/>
    <n v="28000"/>
    <n v="0.12"/>
    <s v="Active"/>
    <n v="3"/>
    <x v="3"/>
  </r>
  <r>
    <x v="11"/>
    <x v="11"/>
    <x v="1"/>
    <x v="1"/>
    <s v="Sr. Manger"/>
    <s v="Marketing"/>
    <x v="3"/>
    <d v="2024-01-03T00:00:00"/>
    <m/>
    <n v="30000"/>
    <n v="0.15"/>
    <s v="Active"/>
    <n v="2"/>
    <x v="1"/>
  </r>
  <r>
    <x v="12"/>
    <x v="12"/>
    <x v="0"/>
    <x v="8"/>
    <s v="IT Coord"/>
    <s v="IT"/>
    <x v="2"/>
    <d v="2023-05-28T00:00:00"/>
    <m/>
    <n v="32000"/>
    <n v="0"/>
    <s v="Active"/>
    <n v="2"/>
    <x v="0"/>
  </r>
  <r>
    <x v="13"/>
    <x v="13"/>
    <x v="1"/>
    <x v="10"/>
    <s v="Quality Eng"/>
    <s v="Engineering"/>
    <x v="1"/>
    <d v="2023-11-15T00:00:00"/>
    <m/>
    <n v="34000"/>
    <n v="0"/>
    <s v="Active"/>
    <n v="2"/>
    <x v="2"/>
  </r>
  <r>
    <x v="14"/>
    <x v="14"/>
    <x v="1"/>
    <x v="2"/>
    <s v="Quality Eng"/>
    <s v="Engineering"/>
    <x v="2"/>
    <d v="2020-01-21T00:00:00"/>
    <d v="2022-10-23T00:00:00"/>
    <n v="36000"/>
    <n v="0.15"/>
    <s v="Inactive"/>
    <n v="2"/>
    <x v="0"/>
  </r>
  <r>
    <x v="15"/>
    <x v="15"/>
    <x v="1"/>
    <x v="0"/>
    <s v="Ops Eng"/>
    <s v="Engineering"/>
    <x v="0"/>
    <d v="2023-10-07T00:00:00"/>
    <d v="2024-09-02T00:00:00"/>
    <n v="38000"/>
    <n v="0"/>
    <s v="Inactive"/>
    <n v="0"/>
    <x v="0"/>
  </r>
  <r>
    <x v="16"/>
    <x v="16"/>
    <x v="1"/>
    <x v="4"/>
    <s v="IT Coord"/>
    <s v="IT"/>
    <x v="1"/>
    <d v="2024-04-19T00:00:00"/>
    <m/>
    <n v="40000"/>
    <n v="0"/>
    <s v="Active"/>
    <n v="1"/>
    <x v="1"/>
  </r>
  <r>
    <x v="17"/>
    <x v="17"/>
    <x v="0"/>
    <x v="11"/>
    <s v="Ops Eng"/>
    <s v="Engineering"/>
    <x v="2"/>
    <d v="2020-09-09T00:00:00"/>
    <m/>
    <n v="42000"/>
    <n v="0.15"/>
    <s v="Active"/>
    <n v="5"/>
    <x v="0"/>
  </r>
  <r>
    <x v="18"/>
    <x v="18"/>
    <x v="1"/>
    <x v="8"/>
    <s v="Ops Eng"/>
    <s v="Engineering"/>
    <x v="3"/>
    <d v="2023-11-03T00:00:00"/>
    <m/>
    <n v="44000"/>
    <n v="0"/>
    <s v="Active"/>
    <n v="2"/>
    <x v="0"/>
  </r>
  <r>
    <x v="19"/>
    <x v="19"/>
    <x v="0"/>
    <x v="12"/>
    <s v="IT Coord"/>
    <s v="IT"/>
    <x v="3"/>
    <d v="2024-04-30T00:00:00"/>
    <m/>
    <n v="46000"/>
    <n v="0"/>
    <s v="Active"/>
    <n v="1"/>
    <x v="2"/>
  </r>
  <r>
    <x v="20"/>
    <x v="20"/>
    <x v="1"/>
    <x v="13"/>
    <s v="Auto Eng"/>
    <s v="Engineering"/>
    <x v="3"/>
    <d v="2020-02-26T00:00:00"/>
    <d v="2021-09-07T00:00:00"/>
    <n v="48000"/>
    <n v="0"/>
    <s v="Inactive"/>
    <n v="1"/>
    <x v="1"/>
  </r>
  <r>
    <x v="21"/>
    <x v="21"/>
    <x v="0"/>
    <x v="10"/>
    <s v=" Dev Eng"/>
    <s v="Engineering"/>
    <x v="3"/>
    <d v="2022-09-11T00:00:00"/>
    <m/>
    <n v="50000"/>
    <n v="0"/>
    <s v="Active"/>
    <n v="3"/>
    <x v="2"/>
  </r>
  <r>
    <x v="22"/>
    <x v="22"/>
    <x v="0"/>
    <x v="13"/>
    <s v="Sr. Analyst"/>
    <s v="Finance"/>
    <x v="3"/>
    <d v="2024-05-18T00:00:00"/>
    <m/>
    <n v="52000"/>
    <n v="0"/>
    <s v="Active"/>
    <n v="1"/>
    <x v="1"/>
  </r>
  <r>
    <x v="23"/>
    <x v="23"/>
    <x v="1"/>
    <x v="14"/>
    <s v="Quality Eng"/>
    <s v="Engineering"/>
    <x v="0"/>
    <d v="2021-11-09T00:00:00"/>
    <m/>
    <n v="54000"/>
    <n v="0.12"/>
    <s v="Active"/>
    <n v="4"/>
    <x v="2"/>
  </r>
  <r>
    <x v="24"/>
    <x v="24"/>
    <x v="1"/>
    <x v="12"/>
    <s v="Ops Eng"/>
    <s v="Engineering"/>
    <x v="1"/>
    <d v="2020-05-12T00:00:00"/>
    <d v="2022-10-23T00:00:00"/>
    <n v="56000"/>
    <n v="0.15"/>
    <s v="Inactive"/>
    <n v="2"/>
    <x v="2"/>
  </r>
  <r>
    <x v="25"/>
    <x v="25"/>
    <x v="1"/>
    <x v="14"/>
    <s v="Field Eng"/>
    <s v="Engineering"/>
    <x v="3"/>
    <d v="2022-09-11T00:00:00"/>
    <m/>
    <n v="58000"/>
    <n v="0"/>
    <s v="Active"/>
    <n v="3"/>
    <x v="2"/>
  </r>
  <r>
    <x v="26"/>
    <x v="26"/>
    <x v="1"/>
    <x v="3"/>
    <s v="Sr. Analyst"/>
    <s v="Accounting"/>
    <x v="2"/>
    <d v="2022-10-23T00:00:00"/>
    <m/>
    <n v="60000"/>
    <n v="0"/>
    <s v="Active"/>
    <n v="3"/>
    <x v="1"/>
  </r>
  <r>
    <x v="27"/>
    <x v="27"/>
    <x v="0"/>
    <x v="1"/>
    <s v="Net Admin"/>
    <s v="IT"/>
    <x v="3"/>
    <d v="2020-08-23T00:00:00"/>
    <d v="2024-05-18T00:00:00"/>
    <n v="62000"/>
    <n v="0"/>
    <s v="Inactive"/>
    <n v="3"/>
    <x v="1"/>
  </r>
  <r>
    <x v="28"/>
    <x v="28"/>
    <x v="1"/>
    <x v="8"/>
    <s v="Sr. Analyst"/>
    <s v="Marketing"/>
    <x v="1"/>
    <d v="2023-11-07T00:00:00"/>
    <m/>
    <n v="64000"/>
    <n v="0"/>
    <s v="Active"/>
    <n v="2"/>
    <x v="0"/>
  </r>
  <r>
    <x v="29"/>
    <x v="29"/>
    <x v="0"/>
    <x v="15"/>
    <s v=" Dev Eng"/>
    <s v="Engineering"/>
    <x v="2"/>
    <d v="2023-10-07T00:00:00"/>
    <m/>
    <n v="66000"/>
    <n v="0"/>
    <s v="Active"/>
    <n v="2"/>
    <x v="1"/>
  </r>
  <r>
    <x v="30"/>
    <x v="30"/>
    <x v="0"/>
    <x v="16"/>
    <s v="Net Admin"/>
    <s v="IT"/>
    <x v="2"/>
    <d v="2022-04-26T00:00:00"/>
    <m/>
    <n v="68000"/>
    <n v="0.12"/>
    <s v="Active"/>
    <n v="3"/>
    <x v="1"/>
  </r>
  <r>
    <x v="31"/>
    <x v="31"/>
    <x v="0"/>
    <x v="8"/>
    <s v="Field Eng"/>
    <s v="Engineering"/>
    <x v="0"/>
    <d v="2020-02-28T00:00:00"/>
    <m/>
    <n v="70000"/>
    <n v="0.15"/>
    <s v="Active"/>
    <n v="5"/>
    <x v="0"/>
  </r>
  <r>
    <x v="32"/>
    <x v="32"/>
    <x v="0"/>
    <x v="17"/>
    <s v="Auto Eng"/>
    <s v="Engineering"/>
    <x v="0"/>
    <d v="2020-10-12T00:00:00"/>
    <m/>
    <n v="72000"/>
    <n v="0.15"/>
    <s v="Active"/>
    <n v="5"/>
    <x v="3"/>
  </r>
  <r>
    <x v="33"/>
    <x v="33"/>
    <x v="0"/>
    <x v="18"/>
    <s v=" Dev Eng"/>
    <s v="Engineering"/>
    <x v="1"/>
    <d v="2022-01-27T00:00:00"/>
    <m/>
    <n v="74000"/>
    <n v="0.1"/>
    <s v="Active"/>
    <n v="4"/>
    <x v="3"/>
  </r>
  <r>
    <x v="34"/>
    <x v="34"/>
    <x v="1"/>
    <x v="19"/>
    <s v="Sr. Acc Rep"/>
    <s v="Sales"/>
    <x v="0"/>
    <d v="2020-02-15T00:00:00"/>
    <d v="2023-08-07T00:00:00"/>
    <n v="76000"/>
    <n v="0"/>
    <s v="Inactive"/>
    <n v="3"/>
    <x v="3"/>
  </r>
  <r>
    <x v="35"/>
    <x v="35"/>
    <x v="0"/>
    <x v="0"/>
    <s v="Field Eng"/>
    <s v="Engineering"/>
    <x v="1"/>
    <d v="2020-02-10T00:00:00"/>
    <d v="2021-02-24T00:00:00"/>
    <n v="78000"/>
    <n v="0.13"/>
    <s v="Inactive"/>
    <n v="1"/>
    <x v="0"/>
  </r>
  <r>
    <x v="36"/>
    <x v="36"/>
    <x v="0"/>
    <x v="1"/>
    <s v="Sr. Acc Rep"/>
    <s v="Sales"/>
    <x v="2"/>
    <d v="2020-12-18T00:00:00"/>
    <m/>
    <n v="80000"/>
    <n v="0.37"/>
    <s v="Active"/>
    <n v="5"/>
    <x v="1"/>
  </r>
  <r>
    <x v="37"/>
    <x v="37"/>
    <x v="0"/>
    <x v="2"/>
    <s v="Auto Eng"/>
    <s v="Engineering"/>
    <x v="1"/>
    <d v="2020-01-07T00:00:00"/>
    <m/>
    <n v="82000"/>
    <n v="0"/>
    <s v="Active"/>
    <n v="6"/>
    <x v="0"/>
  </r>
  <r>
    <x v="38"/>
    <x v="38"/>
    <x v="1"/>
    <x v="3"/>
    <s v="Auto Eng"/>
    <s v="Engineering"/>
    <x v="2"/>
    <d v="2023-10-07T00:00:00"/>
    <m/>
    <n v="84000"/>
    <n v="0"/>
    <s v="Active"/>
    <n v="2"/>
    <x v="1"/>
  </r>
  <r>
    <x v="39"/>
    <x v="39"/>
    <x v="1"/>
    <x v="3"/>
    <s v="Sr. Manger"/>
    <s v="Finance"/>
    <x v="2"/>
    <d v="2022-10-18T00:00:00"/>
    <d v="2024-02-22T00:00:00"/>
    <n v="86000"/>
    <n v="0"/>
    <s v="Inactive"/>
    <n v="1"/>
    <x v="1"/>
  </r>
  <r>
    <x v="40"/>
    <x v="40"/>
    <x v="1"/>
    <x v="4"/>
    <s v="Sr. Manger"/>
    <s v="Marketing"/>
    <x v="1"/>
    <d v="2022-08-18T00:00:00"/>
    <m/>
    <n v="88000"/>
    <n v="7.0000000000000007E-2"/>
    <s v="Active"/>
    <n v="3"/>
    <x v="1"/>
  </r>
  <r>
    <x v="41"/>
    <x v="41"/>
    <x v="0"/>
    <x v="5"/>
    <s v="Sr. Manger"/>
    <s v="Accounting"/>
    <x v="0"/>
    <d v="2022-05-28T00:00:00"/>
    <d v="2024-05-18T00:00:00"/>
    <n v="90000"/>
    <n v="0.35"/>
    <s v="Inactive"/>
    <n v="1"/>
    <x v="2"/>
  </r>
  <r>
    <x v="42"/>
    <x v="42"/>
    <x v="1"/>
    <x v="20"/>
    <s v="Quality Eng"/>
    <s v="Engineering"/>
    <x v="3"/>
    <d v="2022-09-07T00:00:00"/>
    <m/>
    <n v="92000"/>
    <n v="0"/>
    <s v="Active"/>
    <n v="3"/>
    <x v="0"/>
  </r>
  <r>
    <x v="43"/>
    <x v="43"/>
    <x v="0"/>
    <x v="7"/>
    <s v="Sr. Manger"/>
    <s v="Marketing"/>
    <x v="3"/>
    <d v="2021-01-03T00:00:00"/>
    <d v="2021-09-26T00:00:00"/>
    <n v="94000"/>
    <n v="0"/>
    <s v="Inactive"/>
    <n v="0"/>
    <x v="1"/>
  </r>
  <r>
    <x v="44"/>
    <x v="44"/>
    <x v="1"/>
    <x v="8"/>
    <s v="IT Coord"/>
    <s v="IT"/>
    <x v="2"/>
    <d v="2023-05-28T00:00:00"/>
    <m/>
    <n v="96000"/>
    <n v="0.2"/>
    <s v="Active"/>
    <n v="2"/>
    <x v="0"/>
  </r>
  <r>
    <x v="45"/>
    <x v="45"/>
    <x v="1"/>
    <x v="9"/>
    <s v="Quality Eng"/>
    <s v="Engineering"/>
    <x v="1"/>
    <d v="2023-11-15T00:00:00"/>
    <m/>
    <n v="98000"/>
    <n v="0.09"/>
    <s v="Active"/>
    <n v="2"/>
    <x v="3"/>
  </r>
  <r>
    <x v="46"/>
    <x v="46"/>
    <x v="1"/>
    <x v="20"/>
    <s v="Quality Eng"/>
    <s v="Engineering"/>
    <x v="2"/>
    <d v="2020-01-21T00:00:00"/>
    <m/>
    <n v="100000"/>
    <n v="0"/>
    <s v="Active"/>
    <n v="6"/>
    <x v="0"/>
  </r>
  <r>
    <x v="47"/>
    <x v="47"/>
    <x v="1"/>
    <x v="8"/>
    <s v="Ops Eng"/>
    <s v="Engineering"/>
    <x v="0"/>
    <d v="2023-10-07T00:00:00"/>
    <m/>
    <n v="102000"/>
    <n v="0.4"/>
    <s v="Active"/>
    <n v="2"/>
    <x v="0"/>
  </r>
  <r>
    <x v="48"/>
    <x v="48"/>
    <x v="1"/>
    <x v="10"/>
    <s v="IT Coord"/>
    <s v="IT"/>
    <x v="1"/>
    <d v="2020-04-19T00:00:00"/>
    <d v="2022-03-27T00:00:00"/>
    <n v="104000"/>
    <n v="0"/>
    <s v="Inactive"/>
    <n v="1"/>
    <x v="2"/>
  </r>
  <r>
    <x v="49"/>
    <x v="49"/>
    <x v="1"/>
    <x v="2"/>
    <s v="Ops Eng"/>
    <s v="Engineering"/>
    <x v="2"/>
    <d v="2020-09-09T00:00:00"/>
    <d v="2024-08-10T00:00:00"/>
    <n v="106000"/>
    <n v="0"/>
    <s v="Inactive"/>
    <n v="3"/>
    <x v="0"/>
  </r>
  <r>
    <x v="50"/>
    <x v="50"/>
    <x v="0"/>
    <x v="0"/>
    <s v="Ops Eng"/>
    <s v="Engineering"/>
    <x v="3"/>
    <d v="2023-11-03T00:00:00"/>
    <d v="2024-05-18T00:00:00"/>
    <n v="108000"/>
    <n v="0.08"/>
    <s v="Inactive"/>
    <n v="0"/>
    <x v="0"/>
  </r>
  <r>
    <x v="51"/>
    <x v="51"/>
    <x v="1"/>
    <x v="20"/>
    <s v="IT Coord"/>
    <s v="IT"/>
    <x v="3"/>
    <d v="2024-04-30T00:00:00"/>
    <m/>
    <n v="110000"/>
    <n v="0"/>
    <s v="Active"/>
    <n v="1"/>
    <x v="0"/>
  </r>
  <r>
    <x v="52"/>
    <x v="52"/>
    <x v="0"/>
    <x v="11"/>
    <s v="Auto Eng"/>
    <s v="Engineering"/>
    <x v="3"/>
    <d v="2020-02-26T00:00:00"/>
    <m/>
    <n v="112000"/>
    <n v="0.15"/>
    <s v="Active"/>
    <n v="5"/>
    <x v="0"/>
  </r>
  <r>
    <x v="53"/>
    <x v="53"/>
    <x v="1"/>
    <x v="8"/>
    <s v=" Dev Eng"/>
    <s v="Engineering"/>
    <x v="3"/>
    <d v="2022-09-11T00:00:00"/>
    <m/>
    <n v="114000"/>
    <n v="0"/>
    <s v="Active"/>
    <n v="3"/>
    <x v="0"/>
  </r>
  <r>
    <x v="54"/>
    <x v="54"/>
    <x v="1"/>
    <x v="12"/>
    <s v="Sr. Analyst"/>
    <s v="Finance"/>
    <x v="3"/>
    <d v="2024-05-18T00:00:00"/>
    <m/>
    <n v="116000"/>
    <n v="0.11"/>
    <s v="Active"/>
    <n v="1"/>
    <x v="2"/>
  </r>
  <r>
    <x v="55"/>
    <x v="55"/>
    <x v="0"/>
    <x v="13"/>
    <s v="Quality Eng"/>
    <s v="Engineering"/>
    <x v="0"/>
    <d v="2021-11-09T00:00:00"/>
    <m/>
    <n v="118000"/>
    <n v="0"/>
    <s v="Active"/>
    <n v="4"/>
    <x v="1"/>
  </r>
  <r>
    <x v="56"/>
    <x v="56"/>
    <x v="1"/>
    <x v="10"/>
    <s v="Ops Eng"/>
    <s v="Engineering"/>
    <x v="1"/>
    <d v="2020-05-12T00:00:00"/>
    <d v="2022-12-12T00:00:00"/>
    <n v="120000"/>
    <n v="0.28000000000000003"/>
    <s v="Inactive"/>
    <n v="2"/>
    <x v="2"/>
  </r>
  <r>
    <x v="57"/>
    <x v="57"/>
    <x v="1"/>
    <x v="13"/>
    <s v="Field Eng"/>
    <s v="Engineering"/>
    <x v="3"/>
    <d v="2022-09-11T00:00:00"/>
    <m/>
    <n v="122000"/>
    <n v="0.27"/>
    <s v="Active"/>
    <n v="3"/>
    <x v="1"/>
  </r>
  <r>
    <x v="58"/>
    <x v="58"/>
    <x v="1"/>
    <x v="14"/>
    <s v="Sr. Analyst"/>
    <s v="Accounting"/>
    <x v="2"/>
    <d v="2022-10-23T00:00:00"/>
    <m/>
    <n v="124000"/>
    <n v="0"/>
    <s v="Active"/>
    <n v="3"/>
    <x v="2"/>
  </r>
  <r>
    <x v="59"/>
    <x v="59"/>
    <x v="1"/>
    <x v="12"/>
    <s v="Net Admin"/>
    <s v="IT"/>
    <x v="3"/>
    <d v="2024-08-23T00:00:00"/>
    <m/>
    <n v="126000"/>
    <n v="0.3"/>
    <s v="Active"/>
    <n v="1"/>
    <x v="2"/>
  </r>
  <r>
    <x v="60"/>
    <x v="60"/>
    <x v="0"/>
    <x v="14"/>
    <s v="Sr. Analyst"/>
    <s v="Marketing"/>
    <x v="1"/>
    <d v="2023-11-07T00:00:00"/>
    <m/>
    <n v="128000"/>
    <n v="0"/>
    <s v="Active"/>
    <n v="2"/>
    <x v="2"/>
  </r>
  <r>
    <x v="61"/>
    <x v="61"/>
    <x v="0"/>
    <x v="3"/>
    <s v=" Dev Eng"/>
    <s v="Engineering"/>
    <x v="2"/>
    <d v="2023-10-07T00:00:00"/>
    <m/>
    <n v="130000"/>
    <n v="0"/>
    <s v="Active"/>
    <n v="2"/>
    <x v="1"/>
  </r>
  <r>
    <x v="62"/>
    <x v="62"/>
    <x v="0"/>
    <x v="1"/>
    <s v="Net Admin"/>
    <s v="IT"/>
    <x v="2"/>
    <d v="2022-04-26T00:00:00"/>
    <m/>
    <n v="132000"/>
    <n v="0"/>
    <s v="Active"/>
    <n v="3"/>
    <x v="1"/>
  </r>
  <r>
    <x v="63"/>
    <x v="63"/>
    <x v="0"/>
    <x v="8"/>
    <s v="Field Eng"/>
    <s v="Engineering"/>
    <x v="0"/>
    <d v="2020-02-28T00:00:00"/>
    <d v="2023-12-22T00:00:00"/>
    <n v="134000"/>
    <n v="0.1"/>
    <s v="Inactive"/>
    <n v="3"/>
    <x v="0"/>
  </r>
  <r>
    <x v="64"/>
    <x v="64"/>
    <x v="0"/>
    <x v="15"/>
    <s v="Auto Eng"/>
    <s v="Engineering"/>
    <x v="0"/>
    <d v="2020-10-12T00:00:00"/>
    <d v="2024-02-10T00:00:00"/>
    <n v="136000"/>
    <n v="0.15"/>
    <s v="Inactive"/>
    <n v="3"/>
    <x v="1"/>
  </r>
  <r>
    <x v="65"/>
    <x v="65"/>
    <x v="0"/>
    <x v="4"/>
    <s v=" Dev Eng"/>
    <s v="Engineering"/>
    <x v="1"/>
    <d v="2022-01-27T00:00:00"/>
    <d v="2024-05-18T00:00:00"/>
    <n v="138000"/>
    <n v="0"/>
    <s v="Inactive"/>
    <n v="2"/>
    <x v="1"/>
  </r>
  <r>
    <x v="66"/>
    <x v="66"/>
    <x v="0"/>
    <x v="8"/>
    <s v="Sr. Acc Rep"/>
    <s v="Sales"/>
    <x v="0"/>
    <d v="2024-02-15T00:00:00"/>
    <m/>
    <n v="140000"/>
    <n v="0"/>
    <s v="Active"/>
    <n v="1"/>
    <x v="0"/>
  </r>
  <r>
    <x v="67"/>
    <x v="67"/>
    <x v="0"/>
    <x v="17"/>
    <s v="Field Eng"/>
    <s v="Engineering"/>
    <x v="1"/>
    <d v="2024-02-10T00:00:00"/>
    <m/>
    <n v="142000"/>
    <n v="0"/>
    <s v="Active"/>
    <n v="2"/>
    <x v="3"/>
  </r>
  <r>
    <x v="68"/>
    <x v="68"/>
    <x v="1"/>
    <x v="18"/>
    <s v="Sr. Acc Rep"/>
    <s v="Sales"/>
    <x v="2"/>
    <d v="2020-12-18T00:00:00"/>
    <m/>
    <n v="144000"/>
    <n v="0.13"/>
    <s v="Active"/>
    <n v="5"/>
    <x v="3"/>
  </r>
  <r>
    <x v="69"/>
    <x v="69"/>
    <x v="0"/>
    <x v="19"/>
    <s v="Auto Eng"/>
    <s v="Engineering"/>
    <x v="1"/>
    <d v="2020-01-07T00:00:00"/>
    <m/>
    <n v="146000"/>
    <n v="0.3"/>
    <s v="Active"/>
    <n v="6"/>
    <x v="3"/>
  </r>
  <r>
    <x v="70"/>
    <x v="70"/>
    <x v="0"/>
    <x v="0"/>
    <s v="Auto Eng"/>
    <s v="Engineering"/>
    <x v="2"/>
    <d v="2023-10-07T00:00:00"/>
    <m/>
    <n v="148000"/>
    <n v="0"/>
    <s v="Active"/>
    <n v="2"/>
    <x v="0"/>
  </r>
  <r>
    <x v="71"/>
    <x v="71"/>
    <x v="0"/>
    <x v="1"/>
    <s v="Sr. Manger"/>
    <s v="Finance"/>
    <x v="2"/>
    <d v="2021-10-18T00:00:00"/>
    <m/>
    <n v="150000"/>
    <n v="0.08"/>
    <s v="Active"/>
    <n v="4"/>
    <x v="1"/>
  </r>
  <r>
    <x v="72"/>
    <x v="72"/>
    <x v="0"/>
    <x v="2"/>
    <s v="Sr. Manger"/>
    <s v="Marketing"/>
    <x v="1"/>
    <d v="2022-08-18T00:00:00"/>
    <m/>
    <n v="152000"/>
    <n v="0.3"/>
    <s v="Active"/>
    <n v="3"/>
    <x v="0"/>
  </r>
  <r>
    <x v="73"/>
    <x v="73"/>
    <x v="0"/>
    <x v="3"/>
    <s v="Sr. Manger"/>
    <s v="Accounting"/>
    <x v="0"/>
    <d v="2024-05-28T00:00:00"/>
    <m/>
    <n v="154000"/>
    <n v="0"/>
    <s v="Active"/>
    <n v="1"/>
    <x v="1"/>
  </r>
  <r>
    <x v="74"/>
    <x v="74"/>
    <x v="1"/>
    <x v="3"/>
    <s v="Quality Eng"/>
    <s v="Engineering"/>
    <x v="3"/>
    <d v="2022-09-07T00:00:00"/>
    <m/>
    <n v="156000"/>
    <n v="0.09"/>
    <s v="Active"/>
    <n v="3"/>
    <x v="1"/>
  </r>
  <r>
    <x v="1"/>
    <x v="75"/>
    <x v="0"/>
    <x v="4"/>
    <s v="Sr. Manger"/>
    <s v="Marketing"/>
    <x v="3"/>
    <d v="2024-01-03T00:00:00"/>
    <m/>
    <n v="158000"/>
    <n v="0"/>
    <s v="Active"/>
    <n v="2"/>
    <x v="1"/>
  </r>
  <r>
    <x v="75"/>
    <x v="76"/>
    <x v="1"/>
    <x v="5"/>
    <s v="IT Coord"/>
    <s v="IT"/>
    <x v="2"/>
    <d v="2023-05-28T00:00:00"/>
    <m/>
    <n v="160000"/>
    <n v="0.16"/>
    <s v="Active"/>
    <n v="2"/>
    <x v="2"/>
  </r>
  <r>
    <x v="76"/>
    <x v="77"/>
    <x v="0"/>
    <x v="6"/>
    <s v="Quality Eng"/>
    <s v="Engineering"/>
    <x v="1"/>
    <d v="2023-11-15T00:00:00"/>
    <d v="2024-08-10T00:00:00"/>
    <n v="162000"/>
    <n v="0"/>
    <s v="Inactive"/>
    <n v="0"/>
    <x v="1"/>
  </r>
  <r>
    <x v="77"/>
    <x v="78"/>
    <x v="1"/>
    <x v="7"/>
    <s v="Quality Eng"/>
    <s v="Engineering"/>
    <x v="2"/>
    <d v="2020-01-21T00:00:00"/>
    <d v="2024-02-10T00:00:00"/>
    <n v="164000"/>
    <n v="0.1"/>
    <s v="Inactive"/>
    <n v="4"/>
    <x v="1"/>
  </r>
  <r>
    <x v="78"/>
    <x v="79"/>
    <x v="1"/>
    <x v="8"/>
    <s v="Ops Eng"/>
    <s v="Engineering"/>
    <x v="0"/>
    <d v="2023-10-07T00:00:00"/>
    <m/>
    <n v="166000"/>
    <n v="0"/>
    <s v="Active"/>
    <n v="2"/>
    <x v="0"/>
  </r>
  <r>
    <x v="79"/>
    <x v="80"/>
    <x v="1"/>
    <x v="9"/>
    <s v="IT Coord"/>
    <s v="IT"/>
    <x v="1"/>
    <d v="2024-04-19T00:00:00"/>
    <m/>
    <n v="168000"/>
    <n v="0"/>
    <s v="Active"/>
    <n v="1"/>
    <x v="3"/>
  </r>
  <r>
    <x v="80"/>
    <x v="81"/>
    <x v="0"/>
    <x v="1"/>
    <s v="Ops Eng"/>
    <s v="Engineering"/>
    <x v="2"/>
    <d v="2020-09-09T00:00:00"/>
    <m/>
    <n v="170000"/>
    <n v="0"/>
    <s v="Active"/>
    <n v="5"/>
    <x v="1"/>
  </r>
  <r>
    <x v="81"/>
    <x v="82"/>
    <x v="1"/>
    <x v="8"/>
    <s v="Ops Eng"/>
    <s v="Engineering"/>
    <x v="3"/>
    <d v="2023-11-03T00:00:00"/>
    <m/>
    <n v="172000"/>
    <n v="0.26"/>
    <s v="Active"/>
    <n v="2"/>
    <x v="0"/>
  </r>
  <r>
    <x v="2"/>
    <x v="83"/>
    <x v="1"/>
    <x v="10"/>
    <s v="IT Coord"/>
    <s v="IT"/>
    <x v="3"/>
    <d v="2024-04-30T00:00:00"/>
    <m/>
    <n v="174000"/>
    <n v="0"/>
    <s v="Active"/>
    <n v="1"/>
    <x v="2"/>
  </r>
  <r>
    <x v="82"/>
    <x v="84"/>
    <x v="1"/>
    <x v="2"/>
    <s v="Auto Eng"/>
    <s v="Engineering"/>
    <x v="3"/>
    <d v="2020-02-26T00:00:00"/>
    <d v="2024-02-10T00:00:00"/>
    <n v="176000"/>
    <n v="0.15"/>
    <s v="Inactive"/>
    <n v="3"/>
    <x v="0"/>
  </r>
  <r>
    <x v="83"/>
    <x v="85"/>
    <x v="1"/>
    <x v="0"/>
    <s v=" Dev Eng"/>
    <s v="Engineering"/>
    <x v="3"/>
    <d v="2022-09-11T00:00:00"/>
    <m/>
    <n v="178000"/>
    <n v="0"/>
    <s v="Active"/>
    <n v="3"/>
    <x v="0"/>
  </r>
  <r>
    <x v="84"/>
    <x v="86"/>
    <x v="0"/>
    <x v="4"/>
    <s v="Sr. Analyst"/>
    <s v="Finance"/>
    <x v="3"/>
    <d v="2024-05-18T00:00:00"/>
    <m/>
    <n v="180000"/>
    <n v="0.21"/>
    <s v="Active"/>
    <n v="1"/>
    <x v="1"/>
  </r>
  <r>
    <x v="85"/>
    <x v="87"/>
    <x v="0"/>
    <x v="11"/>
    <s v="Quality Eng"/>
    <s v="Engineering"/>
    <x v="0"/>
    <d v="2021-11-09T00:00:00"/>
    <m/>
    <n v="182000"/>
    <n v="0.37"/>
    <s v="Active"/>
    <n v="4"/>
    <x v="0"/>
  </r>
  <r>
    <x v="86"/>
    <x v="88"/>
    <x v="1"/>
    <x v="8"/>
    <s v="Ops Eng"/>
    <s v="Engineering"/>
    <x v="1"/>
    <d v="2020-05-12T00:00:00"/>
    <d v="2024-02-10T00:00:00"/>
    <n v="184000"/>
    <n v="0.15"/>
    <s v="Inactive"/>
    <n v="3"/>
    <x v="0"/>
  </r>
  <r>
    <x v="87"/>
    <x v="89"/>
    <x v="1"/>
    <x v="12"/>
    <s v="Field Eng"/>
    <s v="Engineering"/>
    <x v="3"/>
    <d v="2022-09-11T00:00:00"/>
    <m/>
    <n v="186000"/>
    <n v="0.14000000000000001"/>
    <s v="Active"/>
    <n v="3"/>
    <x v="2"/>
  </r>
  <r>
    <x v="88"/>
    <x v="90"/>
    <x v="1"/>
    <x v="13"/>
    <s v="Sr. Analyst"/>
    <s v="Accounting"/>
    <x v="2"/>
    <d v="2022-10-23T00:00:00"/>
    <m/>
    <n v="188000"/>
    <n v="0"/>
    <s v="Active"/>
    <n v="3"/>
    <x v="1"/>
  </r>
  <r>
    <x v="89"/>
    <x v="91"/>
    <x v="1"/>
    <x v="10"/>
    <s v="Net Admin"/>
    <s v="IT"/>
    <x v="3"/>
    <d v="2024-08-23T00:00:00"/>
    <m/>
    <n v="190000"/>
    <n v="0"/>
    <s v="Active"/>
    <n v="1"/>
    <x v="2"/>
  </r>
  <r>
    <x v="90"/>
    <x v="92"/>
    <x v="0"/>
    <x v="13"/>
    <s v="Sr. Analyst"/>
    <s v="Marketing"/>
    <x v="1"/>
    <d v="2023-11-07T00:00:00"/>
    <m/>
    <n v="192000"/>
    <n v="7.0000000000000007E-2"/>
    <s v="Active"/>
    <n v="2"/>
    <x v="1"/>
  </r>
  <r>
    <x v="91"/>
    <x v="93"/>
    <x v="1"/>
    <x v="14"/>
    <s v=" Dev Eng"/>
    <s v="Engineering"/>
    <x v="2"/>
    <d v="2023-10-07T00:00:00"/>
    <m/>
    <n v="194000"/>
    <n v="0"/>
    <s v="Active"/>
    <n v="2"/>
    <x v="2"/>
  </r>
  <r>
    <x v="92"/>
    <x v="94"/>
    <x v="0"/>
    <x v="12"/>
    <s v="Net Admin"/>
    <s v="IT"/>
    <x v="2"/>
    <d v="2022-04-26T00:00:00"/>
    <m/>
    <n v="196000"/>
    <n v="0"/>
    <s v="Active"/>
    <n v="3"/>
    <x v="2"/>
  </r>
  <r>
    <x v="93"/>
    <x v="95"/>
    <x v="0"/>
    <x v="14"/>
    <s v="Field Eng"/>
    <s v="Engineering"/>
    <x v="0"/>
    <d v="2020-02-28T00:00:00"/>
    <d v="2024-02-10T00:00:00"/>
    <n v="198000"/>
    <n v="0"/>
    <s v="Inactive"/>
    <n v="3"/>
    <x v="2"/>
  </r>
  <r>
    <x v="94"/>
    <x v="96"/>
    <x v="0"/>
    <x v="3"/>
    <s v="Auto Eng"/>
    <s v="Engineering"/>
    <x v="0"/>
    <d v="2020-10-12T00:00:00"/>
    <m/>
    <n v="200000"/>
    <n v="0.1"/>
    <s v="Active"/>
    <n v="5"/>
    <x v="1"/>
  </r>
  <r>
    <x v="95"/>
    <x v="97"/>
    <x v="0"/>
    <x v="1"/>
    <s v=" Dev Eng"/>
    <s v="Engineering"/>
    <x v="1"/>
    <d v="2022-01-27T00:00:00"/>
    <m/>
    <n v="202000"/>
    <n v="0"/>
    <s v="Active"/>
    <n v="4"/>
    <x v="1"/>
  </r>
  <r>
    <x v="96"/>
    <x v="98"/>
    <x v="0"/>
    <x v="8"/>
    <s v="Sr. Acc Rep"/>
    <s v="Sales"/>
    <x v="0"/>
    <d v="2024-02-15T00:00:00"/>
    <m/>
    <n v="204000"/>
    <n v="0"/>
    <s v="Active"/>
    <n v="1"/>
    <x v="0"/>
  </r>
  <r>
    <x v="97"/>
    <x v="99"/>
    <x v="0"/>
    <x v="15"/>
    <s v="Field Eng"/>
    <s v="Engineering"/>
    <x v="1"/>
    <d v="2024-02-10T00:00:00"/>
    <m/>
    <n v="206000"/>
    <n v="0"/>
    <s v="Active"/>
    <n v="2"/>
    <x v="1"/>
  </r>
  <r>
    <x v="98"/>
    <x v="100"/>
    <x v="0"/>
    <x v="4"/>
    <s v="Sr. Acc Rep"/>
    <s v="Sales"/>
    <x v="2"/>
    <d v="2020-12-18T00:00:00"/>
    <m/>
    <n v="208000"/>
    <n v="0"/>
    <s v="Active"/>
    <n v="5"/>
    <x v="1"/>
  </r>
  <r>
    <x v="99"/>
    <x v="101"/>
    <x v="1"/>
    <x v="8"/>
    <s v="Auto Eng"/>
    <s v="Engineering"/>
    <x v="1"/>
    <d v="2020-01-07T00:00:00"/>
    <m/>
    <n v="210000"/>
    <n v="0"/>
    <s v="Active"/>
    <n v="6"/>
    <x v="0"/>
  </r>
  <r>
    <x v="100"/>
    <x v="102"/>
    <x v="0"/>
    <x v="17"/>
    <s v="Auto Eng"/>
    <s v="Engineering"/>
    <x v="2"/>
    <d v="2023-10-07T00:00:00"/>
    <m/>
    <n v="212000"/>
    <n v="0.33"/>
    <s v="Active"/>
    <n v="2"/>
    <x v="3"/>
  </r>
  <r>
    <x v="101"/>
    <x v="103"/>
    <x v="1"/>
    <x v="18"/>
    <s v="Sr. Manger"/>
    <s v="Finance"/>
    <x v="2"/>
    <d v="2021-10-18T00:00:00"/>
    <d v="2023-01-05T00:00:00"/>
    <n v="214000"/>
    <n v="0.12"/>
    <s v="Inactive"/>
    <n v="1"/>
    <x v="3"/>
  </r>
  <r>
    <x v="102"/>
    <x v="104"/>
    <x v="1"/>
    <x v="19"/>
    <s v="Sr. Manger"/>
    <s v="Marketing"/>
    <x v="1"/>
    <d v="2022-08-18T00:00:00"/>
    <m/>
    <n v="216000"/>
    <n v="0"/>
    <s v="Active"/>
    <n v="3"/>
    <x v="3"/>
  </r>
  <r>
    <x v="103"/>
    <x v="105"/>
    <x v="1"/>
    <x v="0"/>
    <s v="Sr. Manger"/>
    <s v="Accounting"/>
    <x v="0"/>
    <d v="2024-05-28T00:00:00"/>
    <m/>
    <n v="218000"/>
    <n v="0.28000000000000003"/>
    <s v="Active"/>
    <n v="1"/>
    <x v="0"/>
  </r>
  <r>
    <x v="10"/>
    <x v="106"/>
    <x v="0"/>
    <x v="1"/>
    <s v="Quality Eng"/>
    <s v="Engineering"/>
    <x v="3"/>
    <d v="2022-09-07T00:00:00"/>
    <m/>
    <n v="220000"/>
    <n v="0"/>
    <s v="Active"/>
    <n v="3"/>
    <x v="1"/>
  </r>
  <r>
    <x v="104"/>
    <x v="107"/>
    <x v="1"/>
    <x v="2"/>
    <s v="Sr. Manger"/>
    <s v="Marketing"/>
    <x v="3"/>
    <d v="2024-01-03T00:00:00"/>
    <m/>
    <n v="222000"/>
    <n v="0.4"/>
    <s v="Active"/>
    <n v="2"/>
    <x v="0"/>
  </r>
  <r>
    <x v="105"/>
    <x v="108"/>
    <x v="0"/>
    <x v="3"/>
    <s v="IT Coord"/>
    <s v="IT"/>
    <x v="2"/>
    <d v="2023-05-28T00:00:00"/>
    <m/>
    <n v="224000"/>
    <n v="0"/>
    <s v="Active"/>
    <n v="2"/>
    <x v="1"/>
  </r>
  <r>
    <x v="106"/>
    <x v="109"/>
    <x v="1"/>
    <x v="3"/>
    <s v="Quality Eng"/>
    <s v="Engineering"/>
    <x v="1"/>
    <d v="2023-11-15T00:00:00"/>
    <m/>
    <n v="226000"/>
    <n v="0.37"/>
    <s v="Active"/>
    <n v="2"/>
    <x v="1"/>
  </r>
  <r>
    <x v="107"/>
    <x v="110"/>
    <x v="0"/>
    <x v="4"/>
    <s v="Quality Eng"/>
    <s v="Engineering"/>
    <x v="2"/>
    <d v="2020-01-21T00:00:00"/>
    <m/>
    <n v="228000"/>
    <n v="0.3"/>
    <s v="Active"/>
    <n v="6"/>
    <x v="1"/>
  </r>
  <r>
    <x v="108"/>
    <x v="111"/>
    <x v="1"/>
    <x v="5"/>
    <s v="Ops Eng"/>
    <s v="Engineering"/>
    <x v="0"/>
    <d v="2023-10-07T00:00:00"/>
    <m/>
    <n v="230000"/>
    <n v="0"/>
    <s v="Active"/>
    <n v="2"/>
    <x v="2"/>
  </r>
  <r>
    <x v="109"/>
    <x v="112"/>
    <x v="0"/>
    <x v="6"/>
    <s v="IT Coord"/>
    <s v="IT"/>
    <x v="1"/>
    <d v="2024-04-19T00:00:00"/>
    <m/>
    <n v="232000"/>
    <n v="0"/>
    <s v="Active"/>
    <n v="1"/>
    <x v="1"/>
  </r>
  <r>
    <x v="110"/>
    <x v="113"/>
    <x v="1"/>
    <x v="7"/>
    <s v="Ops Eng"/>
    <s v="Engineering"/>
    <x v="2"/>
    <d v="2020-09-09T00:00:00"/>
    <m/>
    <n v="234000"/>
    <n v="0"/>
    <s v="Active"/>
    <n v="5"/>
    <x v="1"/>
  </r>
  <r>
    <x v="111"/>
    <x v="114"/>
    <x v="1"/>
    <x v="8"/>
    <s v="Ops Eng"/>
    <s v="Engineering"/>
    <x v="3"/>
    <d v="2023-11-03T00:00:00"/>
    <m/>
    <n v="236000"/>
    <n v="0.3"/>
    <s v="Active"/>
    <n v="2"/>
    <x v="0"/>
  </r>
  <r>
    <x v="112"/>
    <x v="115"/>
    <x v="0"/>
    <x v="9"/>
    <s v="IT Coord"/>
    <s v="IT"/>
    <x v="3"/>
    <d v="2024-04-30T00:00:00"/>
    <m/>
    <n v="238000"/>
    <n v="0.33"/>
    <s v="Active"/>
    <n v="1"/>
    <x v="3"/>
  </r>
  <r>
    <x v="113"/>
    <x v="116"/>
    <x v="0"/>
    <x v="1"/>
    <s v="Auto Eng"/>
    <s v="Engineering"/>
    <x v="3"/>
    <d v="2020-02-26T00:00:00"/>
    <m/>
    <n v="240000"/>
    <n v="0"/>
    <s v="Active"/>
    <n v="5"/>
    <x v="1"/>
  </r>
  <r>
    <x v="114"/>
    <x v="117"/>
    <x v="0"/>
    <x v="8"/>
    <s v=" Dev Eng"/>
    <s v="Engineering"/>
    <x v="3"/>
    <d v="2022-09-11T00:00:00"/>
    <m/>
    <n v="242000"/>
    <n v="0"/>
    <s v="Active"/>
    <n v="3"/>
    <x v="0"/>
  </r>
  <r>
    <x v="115"/>
    <x v="118"/>
    <x v="1"/>
    <x v="10"/>
    <s v="Sr. Analyst"/>
    <s v="Finance"/>
    <x v="3"/>
    <d v="2024-05-18T00:00:00"/>
    <m/>
    <n v="244000"/>
    <n v="0.08"/>
    <s v="Active"/>
    <n v="1"/>
    <x v="2"/>
  </r>
  <r>
    <x v="116"/>
    <x v="119"/>
    <x v="1"/>
    <x v="2"/>
    <s v="Quality Eng"/>
    <s v="Engineering"/>
    <x v="0"/>
    <d v="2021-11-09T00:00:00"/>
    <m/>
    <n v="246000"/>
    <n v="0.14000000000000001"/>
    <s v="Active"/>
    <n v="4"/>
    <x v="0"/>
  </r>
  <r>
    <x v="3"/>
    <x v="120"/>
    <x v="0"/>
    <x v="0"/>
    <s v="Ops Eng"/>
    <s v="Engineering"/>
    <x v="1"/>
    <d v="2020-05-12T00:00:00"/>
    <m/>
    <n v="248000"/>
    <n v="0"/>
    <s v="Active"/>
    <n v="5"/>
    <x v="0"/>
  </r>
  <r>
    <x v="44"/>
    <x v="121"/>
    <x v="0"/>
    <x v="4"/>
    <s v="Field Eng"/>
    <s v="Engineering"/>
    <x v="3"/>
    <d v="2022-09-11T00:00:00"/>
    <m/>
    <n v="250000"/>
    <n v="0"/>
    <s v="Active"/>
    <n v="3"/>
    <x v="1"/>
  </r>
  <r>
    <x v="117"/>
    <x v="122"/>
    <x v="0"/>
    <x v="11"/>
    <s v="Sr. Analyst"/>
    <s v="Accounting"/>
    <x v="2"/>
    <d v="2022-10-23T00:00:00"/>
    <m/>
    <n v="252000"/>
    <n v="0"/>
    <s v="Active"/>
    <n v="3"/>
    <x v="0"/>
  </r>
  <r>
    <x v="118"/>
    <x v="123"/>
    <x v="1"/>
    <x v="8"/>
    <s v="Net Admin"/>
    <s v="IT"/>
    <x v="3"/>
    <d v="2024-08-23T00:00:00"/>
    <m/>
    <n v="254000"/>
    <n v="0"/>
    <s v="Active"/>
    <n v="1"/>
    <x v="0"/>
  </r>
  <r>
    <x v="119"/>
    <x v="124"/>
    <x v="1"/>
    <x v="12"/>
    <s v="Sr. Analyst"/>
    <s v="Marketing"/>
    <x v="1"/>
    <d v="2023-11-07T00:00:00"/>
    <m/>
    <n v="256000"/>
    <n v="0"/>
    <s v="Active"/>
    <n v="2"/>
    <x v="2"/>
  </r>
  <r>
    <x v="120"/>
    <x v="125"/>
    <x v="0"/>
    <x v="13"/>
    <s v=" Dev Eng"/>
    <s v="Engineering"/>
    <x v="2"/>
    <d v="2023-10-07T00:00:00"/>
    <m/>
    <n v="258000"/>
    <n v="0"/>
    <s v="Active"/>
    <n v="2"/>
    <x v="1"/>
  </r>
  <r>
    <x v="121"/>
    <x v="126"/>
    <x v="1"/>
    <x v="10"/>
    <s v="Net Admin"/>
    <s v="IT"/>
    <x v="2"/>
    <d v="2022-04-26T00:00:00"/>
    <m/>
    <n v="260000"/>
    <n v="0"/>
    <s v="Active"/>
    <n v="3"/>
    <x v="2"/>
  </r>
  <r>
    <x v="122"/>
    <x v="127"/>
    <x v="0"/>
    <x v="13"/>
    <s v="Field Eng"/>
    <s v="Engineering"/>
    <x v="0"/>
    <d v="2020-02-28T00:00:00"/>
    <m/>
    <n v="262000"/>
    <n v="0"/>
    <s v="Active"/>
    <n v="5"/>
    <x v="1"/>
  </r>
  <r>
    <x v="123"/>
    <x v="128"/>
    <x v="0"/>
    <x v="14"/>
    <s v="Auto Eng"/>
    <s v="Engineering"/>
    <x v="0"/>
    <d v="2020-10-12T00:00:00"/>
    <m/>
    <n v="264000"/>
    <n v="0"/>
    <s v="Active"/>
    <n v="5"/>
    <x v="2"/>
  </r>
  <r>
    <x v="124"/>
    <x v="129"/>
    <x v="0"/>
    <x v="12"/>
    <s v=" Dev Eng"/>
    <s v="Engineering"/>
    <x v="1"/>
    <d v="2022-01-27T00:00:00"/>
    <m/>
    <n v="266000"/>
    <n v="0.1"/>
    <s v="Active"/>
    <n v="4"/>
    <x v="2"/>
  </r>
  <r>
    <x v="125"/>
    <x v="130"/>
    <x v="0"/>
    <x v="14"/>
    <s v="Sr. Acc Rep"/>
    <s v="Sales"/>
    <x v="0"/>
    <d v="2024-02-15T00:00:00"/>
    <m/>
    <n v="268000"/>
    <n v="0.33"/>
    <s v="Active"/>
    <n v="1"/>
    <x v="2"/>
  </r>
  <r>
    <x v="52"/>
    <x v="131"/>
    <x v="1"/>
    <x v="3"/>
    <s v="Field Eng"/>
    <s v="Engineering"/>
    <x v="1"/>
    <d v="2024-02-10T00:00:00"/>
    <m/>
    <n v="270000"/>
    <n v="0.05"/>
    <s v="Active"/>
    <n v="2"/>
    <x v="1"/>
  </r>
  <r>
    <x v="61"/>
    <x v="132"/>
    <x v="0"/>
    <x v="1"/>
    <s v="Sr. Acc Rep"/>
    <s v="Sales"/>
    <x v="2"/>
    <d v="2020-12-18T00:00:00"/>
    <d v="2023-12-13T00:00:00"/>
    <n v="272000"/>
    <n v="0"/>
    <s v="Inactive"/>
    <n v="2"/>
    <x v="1"/>
  </r>
  <r>
    <x v="126"/>
    <x v="133"/>
    <x v="1"/>
    <x v="8"/>
    <s v="Auto Eng"/>
    <s v="Engineering"/>
    <x v="1"/>
    <d v="2020-01-07T00:00:00"/>
    <m/>
    <n v="274000"/>
    <n v="0.15"/>
    <s v="Active"/>
    <n v="6"/>
    <x v="0"/>
  </r>
  <r>
    <x v="127"/>
    <x v="134"/>
    <x v="0"/>
    <x v="15"/>
    <s v="Auto Eng"/>
    <s v="Engineering"/>
    <x v="2"/>
    <d v="2023-10-07T00:00:00"/>
    <m/>
    <n v="276000"/>
    <n v="0"/>
    <s v="Active"/>
    <n v="2"/>
    <x v="1"/>
  </r>
  <r>
    <x v="128"/>
    <x v="135"/>
    <x v="0"/>
    <x v="4"/>
    <s v="Sr. Manger"/>
    <s v="Finance"/>
    <x v="2"/>
    <d v="2021-10-18T00:00:00"/>
    <m/>
    <n v="278000"/>
    <n v="0"/>
    <s v="Active"/>
    <n v="4"/>
    <x v="1"/>
  </r>
  <r>
    <x v="129"/>
    <x v="136"/>
    <x v="1"/>
    <x v="8"/>
    <s v="Sr. Manger"/>
    <s v="Marketing"/>
    <x v="1"/>
    <d v="2022-08-18T00:00:00"/>
    <m/>
    <n v="280000"/>
    <n v="0"/>
    <s v="Active"/>
    <n v="3"/>
    <x v="0"/>
  </r>
  <r>
    <x v="130"/>
    <x v="137"/>
    <x v="1"/>
    <x v="17"/>
    <s v="Sr. Manger"/>
    <s v="Accounting"/>
    <x v="0"/>
    <d v="2024-05-28T00:00:00"/>
    <m/>
    <n v="282000"/>
    <n v="0.31"/>
    <s v="Active"/>
    <n v="1"/>
    <x v="3"/>
  </r>
  <r>
    <x v="131"/>
    <x v="138"/>
    <x v="0"/>
    <x v="18"/>
    <s v="Quality Eng"/>
    <s v="Engineering"/>
    <x v="3"/>
    <d v="2022-09-07T00:00:00"/>
    <m/>
    <n v="284000"/>
    <n v="0.28999999999999998"/>
    <s v="Active"/>
    <n v="3"/>
    <x v="3"/>
  </r>
  <r>
    <x v="132"/>
    <x v="139"/>
    <x v="1"/>
    <x v="19"/>
    <s v="Sr. Manger"/>
    <s v="Marketing"/>
    <x v="3"/>
    <d v="2024-01-03T00:00:00"/>
    <m/>
    <n v="286000"/>
    <n v="0.15"/>
    <s v="Active"/>
    <n v="2"/>
    <x v="3"/>
  </r>
  <r>
    <x v="4"/>
    <x v="140"/>
    <x v="0"/>
    <x v="0"/>
    <s v="IT Coord"/>
    <s v="IT"/>
    <x v="2"/>
    <d v="2023-05-28T00:00:00"/>
    <m/>
    <n v="288000"/>
    <n v="0"/>
    <s v="Active"/>
    <n v="2"/>
    <x v="0"/>
  </r>
  <r>
    <x v="133"/>
    <x v="141"/>
    <x v="0"/>
    <x v="1"/>
    <s v="Quality Eng"/>
    <s v="Engineering"/>
    <x v="1"/>
    <d v="2023-11-15T00:00:00"/>
    <m/>
    <n v="290000"/>
    <n v="0.4"/>
    <s v="Active"/>
    <n v="2"/>
    <x v="1"/>
  </r>
  <r>
    <x v="134"/>
    <x v="142"/>
    <x v="1"/>
    <x v="2"/>
    <s v="Quality Eng"/>
    <s v="Engineering"/>
    <x v="2"/>
    <d v="2020-01-21T00:00:00"/>
    <m/>
    <n v="292000"/>
    <n v="0.14000000000000001"/>
    <s v="Active"/>
    <n v="6"/>
    <x v="0"/>
  </r>
  <r>
    <x v="135"/>
    <x v="143"/>
    <x v="1"/>
    <x v="3"/>
    <s v="Ops Eng"/>
    <s v="Engineering"/>
    <x v="0"/>
    <d v="2023-10-07T00:00:00"/>
    <m/>
    <n v="294000"/>
    <n v="0"/>
    <s v="Active"/>
    <n v="2"/>
    <x v="1"/>
  </r>
  <r>
    <x v="136"/>
    <x v="144"/>
    <x v="1"/>
    <x v="3"/>
    <s v="IT Coord"/>
    <s v="IT"/>
    <x v="1"/>
    <d v="2024-04-19T00:00:00"/>
    <m/>
    <n v="296000"/>
    <n v="0"/>
    <s v="Active"/>
    <n v="1"/>
    <x v="1"/>
  </r>
  <r>
    <x v="137"/>
    <x v="145"/>
    <x v="0"/>
    <x v="4"/>
    <s v="Ops Eng"/>
    <s v="Engineering"/>
    <x v="2"/>
    <d v="2020-09-09T00:00:00"/>
    <m/>
    <n v="298000"/>
    <n v="0.39"/>
    <s v="Active"/>
    <n v="5"/>
    <x v="1"/>
  </r>
  <r>
    <x v="138"/>
    <x v="146"/>
    <x v="1"/>
    <x v="5"/>
    <s v="Ops Eng"/>
    <s v="Engineering"/>
    <x v="3"/>
    <d v="2023-11-03T00:00:00"/>
    <m/>
    <n v="300000"/>
    <n v="0.21"/>
    <s v="Active"/>
    <n v="2"/>
    <x v="2"/>
  </r>
  <r>
    <x v="139"/>
    <x v="147"/>
    <x v="0"/>
    <x v="6"/>
    <s v="IT Coord"/>
    <s v="IT"/>
    <x v="3"/>
    <d v="2024-04-30T00:00:00"/>
    <m/>
    <n v="302000"/>
    <n v="0.1"/>
    <s v="Active"/>
    <n v="1"/>
    <x v="1"/>
  </r>
  <r>
    <x v="140"/>
    <x v="148"/>
    <x v="1"/>
    <x v="7"/>
    <s v="Auto Eng"/>
    <s v="Engineering"/>
    <x v="3"/>
    <d v="2020-02-26T00:00:00"/>
    <m/>
    <n v="304000"/>
    <n v="0.05"/>
    <s v="Active"/>
    <n v="5"/>
    <x v="1"/>
  </r>
  <r>
    <x v="141"/>
    <x v="149"/>
    <x v="0"/>
    <x v="8"/>
    <s v=" Dev Eng"/>
    <s v="Engineering"/>
    <x v="3"/>
    <d v="2022-09-11T00:00:00"/>
    <m/>
    <n v="306000"/>
    <n v="0.1"/>
    <s v="Active"/>
    <n v="3"/>
    <x v="0"/>
  </r>
  <r>
    <x v="142"/>
    <x v="150"/>
    <x v="1"/>
    <x v="9"/>
    <s v="Sr. Analyst"/>
    <s v="Finance"/>
    <x v="3"/>
    <d v="2024-05-18T00:00:00"/>
    <m/>
    <n v="308000"/>
    <n v="0.31"/>
    <s v="Active"/>
    <n v="1"/>
    <x v="3"/>
  </r>
  <r>
    <x v="143"/>
    <x v="151"/>
    <x v="0"/>
    <x v="1"/>
    <s v="Quality Eng"/>
    <s v="Engineering"/>
    <x v="0"/>
    <d v="2021-11-09T00:00:00"/>
    <m/>
    <n v="310000"/>
    <n v="0"/>
    <s v="Active"/>
    <n v="4"/>
    <x v="1"/>
  </r>
  <r>
    <x v="144"/>
    <x v="152"/>
    <x v="0"/>
    <x v="8"/>
    <s v="Ops Eng"/>
    <s v="Engineering"/>
    <x v="1"/>
    <d v="2020-05-12T00:00:00"/>
    <m/>
    <n v="312000"/>
    <n v="0.08"/>
    <s v="Active"/>
    <n v="5"/>
    <x v="0"/>
  </r>
  <r>
    <x v="145"/>
    <x v="153"/>
    <x v="1"/>
    <x v="10"/>
    <s v="Field Eng"/>
    <s v="Engineering"/>
    <x v="3"/>
    <d v="2022-09-11T00:00:00"/>
    <m/>
    <n v="314000"/>
    <n v="0"/>
    <s v="Active"/>
    <n v="3"/>
    <x v="2"/>
  </r>
  <r>
    <x v="146"/>
    <x v="154"/>
    <x v="1"/>
    <x v="2"/>
    <s v="Sr. Analyst"/>
    <s v="Accounting"/>
    <x v="2"/>
    <d v="2022-10-23T00:00:00"/>
    <m/>
    <n v="316000"/>
    <n v="0"/>
    <s v="Active"/>
    <n v="3"/>
    <x v="0"/>
  </r>
  <r>
    <x v="147"/>
    <x v="155"/>
    <x v="1"/>
    <x v="0"/>
    <s v="Net Admin"/>
    <s v="IT"/>
    <x v="3"/>
    <d v="2024-08-23T00:00:00"/>
    <m/>
    <n v="318000"/>
    <n v="0"/>
    <s v="Active"/>
    <n v="1"/>
    <x v="0"/>
  </r>
  <r>
    <x v="148"/>
    <x v="156"/>
    <x v="0"/>
    <x v="4"/>
    <s v="Sr. Analyst"/>
    <s v="Marketing"/>
    <x v="1"/>
    <d v="2023-11-07T00:00:00"/>
    <m/>
    <n v="320000"/>
    <n v="0"/>
    <s v="Active"/>
    <n v="2"/>
    <x v="1"/>
  </r>
  <r>
    <x v="149"/>
    <x v="157"/>
    <x v="0"/>
    <x v="11"/>
    <s v=" Dev Eng"/>
    <s v="Engineering"/>
    <x v="2"/>
    <d v="2023-10-07T00:00:00"/>
    <m/>
    <n v="322000"/>
    <n v="0"/>
    <s v="Active"/>
    <n v="2"/>
    <x v="0"/>
  </r>
  <r>
    <x v="150"/>
    <x v="158"/>
    <x v="1"/>
    <x v="8"/>
    <s v="Net Admin"/>
    <s v="IT"/>
    <x v="2"/>
    <d v="2022-04-26T00:00:00"/>
    <m/>
    <n v="324000"/>
    <n v="0"/>
    <s v="Active"/>
    <n v="3"/>
    <x v="0"/>
  </r>
  <r>
    <x v="151"/>
    <x v="159"/>
    <x v="0"/>
    <x v="12"/>
    <s v="Field Eng"/>
    <s v="Engineering"/>
    <x v="0"/>
    <d v="2020-02-28T00:00:00"/>
    <m/>
    <n v="326000"/>
    <n v="0"/>
    <s v="Active"/>
    <n v="5"/>
    <x v="2"/>
  </r>
  <r>
    <x v="152"/>
    <x v="160"/>
    <x v="0"/>
    <x v="13"/>
    <s v="Auto Eng"/>
    <s v="Engineering"/>
    <x v="0"/>
    <d v="2020-10-12T00:00:00"/>
    <m/>
    <n v="328000"/>
    <n v="0"/>
    <s v="Active"/>
    <n v="5"/>
    <x v="1"/>
  </r>
  <r>
    <x v="153"/>
    <x v="161"/>
    <x v="0"/>
    <x v="10"/>
    <s v=" Dev Eng"/>
    <s v="Engineering"/>
    <x v="1"/>
    <d v="2022-01-27T00:00:00"/>
    <m/>
    <n v="330000"/>
    <n v="0.15"/>
    <s v="Active"/>
    <n v="4"/>
    <x v="2"/>
  </r>
  <r>
    <x v="154"/>
    <x v="162"/>
    <x v="0"/>
    <x v="13"/>
    <s v="Sr. Acc Rep"/>
    <s v="Sales"/>
    <x v="0"/>
    <d v="2024-02-15T00:00:00"/>
    <m/>
    <n v="332000"/>
    <n v="0"/>
    <s v="Active"/>
    <n v="1"/>
    <x v="1"/>
  </r>
  <r>
    <x v="155"/>
    <x v="163"/>
    <x v="0"/>
    <x v="14"/>
    <s v="Field Eng"/>
    <s v="Engineering"/>
    <x v="1"/>
    <d v="2024-02-10T00:00:00"/>
    <m/>
    <n v="334000"/>
    <n v="0.13"/>
    <s v="Active"/>
    <n v="2"/>
    <x v="2"/>
  </r>
  <r>
    <x v="156"/>
    <x v="164"/>
    <x v="1"/>
    <x v="12"/>
    <s v="Sr. Acc Rep"/>
    <s v="Sales"/>
    <x v="2"/>
    <d v="2020-12-18T00:00:00"/>
    <m/>
    <n v="336000"/>
    <n v="0"/>
    <s v="Active"/>
    <n v="5"/>
    <x v="2"/>
  </r>
  <r>
    <x v="157"/>
    <x v="165"/>
    <x v="0"/>
    <x v="14"/>
    <s v="Auto Eng"/>
    <s v="Engineering"/>
    <x v="1"/>
    <d v="2020-01-07T00:00:00"/>
    <m/>
    <n v="338000"/>
    <n v="0.1"/>
    <s v="Active"/>
    <n v="6"/>
    <x v="2"/>
  </r>
  <r>
    <x v="158"/>
    <x v="166"/>
    <x v="1"/>
    <x v="3"/>
    <s v="Auto Eng"/>
    <s v="Engineering"/>
    <x v="2"/>
    <d v="2023-10-07T00:00:00"/>
    <m/>
    <n v="340000"/>
    <n v="0.3"/>
    <s v="Active"/>
    <n v="2"/>
    <x v="1"/>
  </r>
  <r>
    <x v="159"/>
    <x v="167"/>
    <x v="0"/>
    <x v="1"/>
    <s v="Sr. Manger"/>
    <s v="Finance"/>
    <x v="2"/>
    <d v="2021-10-18T00:00:00"/>
    <m/>
    <n v="342000"/>
    <n v="0"/>
    <s v="Active"/>
    <n v="4"/>
    <x v="1"/>
  </r>
  <r>
    <x v="160"/>
    <x v="168"/>
    <x v="1"/>
    <x v="8"/>
    <s v="Sr. Manger"/>
    <s v="Marketing"/>
    <x v="1"/>
    <d v="2022-08-18T00:00:00"/>
    <m/>
    <n v="344000"/>
    <n v="0.06"/>
    <s v="Active"/>
    <n v="3"/>
    <x v="0"/>
  </r>
  <r>
    <x v="161"/>
    <x v="169"/>
    <x v="0"/>
    <x v="15"/>
    <s v="Sr. Manger"/>
    <s v="Accounting"/>
    <x v="0"/>
    <d v="2024-05-28T00:00:00"/>
    <m/>
    <n v="346000"/>
    <n v="0"/>
    <s v="Active"/>
    <n v="1"/>
    <x v="1"/>
  </r>
  <r>
    <x v="162"/>
    <x v="170"/>
    <x v="0"/>
    <x v="4"/>
    <s v="Quality Eng"/>
    <s v="Engineering"/>
    <x v="3"/>
    <d v="2022-09-07T00:00:00"/>
    <m/>
    <n v="348000"/>
    <n v="0.3"/>
    <s v="Active"/>
    <n v="3"/>
    <x v="1"/>
  </r>
  <r>
    <x v="163"/>
    <x v="171"/>
    <x v="0"/>
    <x v="8"/>
    <s v="Sr. Manger"/>
    <s v="Marketing"/>
    <x v="3"/>
    <d v="2024-01-03T00:00:00"/>
    <m/>
    <n v="350000"/>
    <n v="0"/>
    <s v="Active"/>
    <n v="2"/>
    <x v="0"/>
  </r>
  <r>
    <x v="164"/>
    <x v="172"/>
    <x v="1"/>
    <x v="17"/>
    <s v="IT Coord"/>
    <s v="IT"/>
    <x v="2"/>
    <d v="2023-05-28T00:00:00"/>
    <d v="2024-09-01T00:00:00"/>
    <n v="352000"/>
    <n v="0.32"/>
    <s v="Inactive"/>
    <n v="1"/>
    <x v="3"/>
  </r>
  <r>
    <x v="165"/>
    <x v="173"/>
    <x v="0"/>
    <x v="18"/>
    <s v="Quality Eng"/>
    <s v="Engineering"/>
    <x v="1"/>
    <d v="2023-11-15T00:00:00"/>
    <m/>
    <n v="354000"/>
    <n v="0"/>
    <s v="Active"/>
    <n v="2"/>
    <x v="3"/>
  </r>
  <r>
    <x v="166"/>
    <x v="174"/>
    <x v="0"/>
    <x v="19"/>
    <s v="Quality Eng"/>
    <s v="Engineering"/>
    <x v="2"/>
    <d v="2020-01-21T00:00:00"/>
    <m/>
    <n v="356000"/>
    <n v="0"/>
    <s v="Active"/>
    <n v="6"/>
    <x v="3"/>
  </r>
  <r>
    <x v="167"/>
    <x v="175"/>
    <x v="1"/>
    <x v="0"/>
    <s v="Ops Eng"/>
    <s v="Engineering"/>
    <x v="0"/>
    <d v="2023-10-07T00:00:00"/>
    <m/>
    <n v="358000"/>
    <n v="0.39"/>
    <s v="Active"/>
    <n v="2"/>
    <x v="0"/>
  </r>
  <r>
    <x v="168"/>
    <x v="176"/>
    <x v="0"/>
    <x v="1"/>
    <s v="IT Coord"/>
    <s v="IT"/>
    <x v="1"/>
    <d v="2024-04-19T00:00:00"/>
    <m/>
    <n v="360000"/>
    <n v="0"/>
    <s v="Active"/>
    <n v="1"/>
    <x v="1"/>
  </r>
  <r>
    <x v="169"/>
    <x v="177"/>
    <x v="1"/>
    <x v="2"/>
    <s v="Ops Eng"/>
    <s v="Engineering"/>
    <x v="2"/>
    <d v="2020-09-09T00:00:00"/>
    <m/>
    <n v="362000"/>
    <n v="0.22"/>
    <s v="Active"/>
    <n v="5"/>
    <x v="0"/>
  </r>
  <r>
    <x v="170"/>
    <x v="178"/>
    <x v="1"/>
    <x v="3"/>
    <s v="Ops Eng"/>
    <s v="Engineering"/>
    <x v="3"/>
    <d v="2023-11-03T00:00:00"/>
    <m/>
    <n v="364000"/>
    <n v="0"/>
    <s v="Active"/>
    <n v="2"/>
    <x v="1"/>
  </r>
  <r>
    <x v="171"/>
    <x v="179"/>
    <x v="1"/>
    <x v="3"/>
    <s v="IT Coord"/>
    <s v="IT"/>
    <x v="3"/>
    <d v="2024-04-30T00:00:00"/>
    <m/>
    <n v="366000"/>
    <n v="0"/>
    <s v="Active"/>
    <n v="1"/>
    <x v="1"/>
  </r>
  <r>
    <x v="172"/>
    <x v="180"/>
    <x v="0"/>
    <x v="4"/>
    <s v="Auto Eng"/>
    <s v="Engineering"/>
    <x v="3"/>
    <d v="2020-02-26T00:00:00"/>
    <m/>
    <n v="368000"/>
    <n v="7.0000000000000007E-2"/>
    <s v="Active"/>
    <n v="5"/>
    <x v="1"/>
  </r>
  <r>
    <x v="173"/>
    <x v="181"/>
    <x v="1"/>
    <x v="5"/>
    <s v=" Dev Eng"/>
    <s v="Engineering"/>
    <x v="3"/>
    <d v="2022-09-11T00:00:00"/>
    <m/>
    <n v="370000"/>
    <n v="0"/>
    <s v="Active"/>
    <n v="3"/>
    <x v="2"/>
  </r>
  <r>
    <x v="174"/>
    <x v="182"/>
    <x v="0"/>
    <x v="6"/>
    <s v="Sr. Analyst"/>
    <s v="Finance"/>
    <x v="3"/>
    <d v="2024-05-18T00:00:00"/>
    <m/>
    <n v="372000"/>
    <n v="0.4"/>
    <s v="Active"/>
    <n v="1"/>
    <x v="1"/>
  </r>
  <r>
    <x v="175"/>
    <x v="183"/>
    <x v="1"/>
    <x v="7"/>
    <s v="Quality Eng"/>
    <s v="Engineering"/>
    <x v="0"/>
    <d v="2021-11-09T00:00:00"/>
    <m/>
    <n v="374000"/>
    <n v="0"/>
    <s v="Active"/>
    <n v="4"/>
    <x v="1"/>
  </r>
  <r>
    <x v="176"/>
    <x v="184"/>
    <x v="1"/>
    <x v="8"/>
    <s v="Ops Eng"/>
    <s v="Engineering"/>
    <x v="1"/>
    <d v="2020-05-12T00:00:00"/>
    <m/>
    <n v="376000"/>
    <n v="0.15"/>
    <s v="Active"/>
    <n v="5"/>
    <x v="0"/>
  </r>
  <r>
    <x v="177"/>
    <x v="185"/>
    <x v="0"/>
    <x v="9"/>
    <s v="Field Eng"/>
    <s v="Engineering"/>
    <x v="3"/>
    <d v="2022-09-11T00:00:00"/>
    <m/>
    <n v="378000"/>
    <n v="0"/>
    <s v="Active"/>
    <n v="3"/>
    <x v="3"/>
  </r>
  <r>
    <x v="178"/>
    <x v="186"/>
    <x v="0"/>
    <x v="1"/>
    <s v="Sr. Analyst"/>
    <s v="Accounting"/>
    <x v="2"/>
    <d v="2022-10-23T00:00:00"/>
    <m/>
    <n v="380000"/>
    <n v="0.05"/>
    <s v="Active"/>
    <n v="3"/>
    <x v="1"/>
  </r>
  <r>
    <x v="179"/>
    <x v="187"/>
    <x v="1"/>
    <x v="8"/>
    <s v="Net Admin"/>
    <s v="IT"/>
    <x v="3"/>
    <d v="2024-08-23T00:00:00"/>
    <m/>
    <n v="382000"/>
    <n v="0"/>
    <s v="Active"/>
    <n v="1"/>
    <x v="0"/>
  </r>
  <r>
    <x v="180"/>
    <x v="188"/>
    <x v="1"/>
    <x v="10"/>
    <s v="Sr. Analyst"/>
    <s v="Marketing"/>
    <x v="1"/>
    <d v="2023-11-07T00:00:00"/>
    <m/>
    <n v="384000"/>
    <n v="0"/>
    <s v="Active"/>
    <n v="2"/>
    <x v="2"/>
  </r>
  <r>
    <x v="181"/>
    <x v="189"/>
    <x v="1"/>
    <x v="2"/>
    <s v=" Dev Eng"/>
    <s v="Engineering"/>
    <x v="2"/>
    <d v="2023-10-07T00:00:00"/>
    <m/>
    <n v="386000"/>
    <n v="0"/>
    <s v="Active"/>
    <n v="2"/>
    <x v="0"/>
  </r>
  <r>
    <x v="182"/>
    <x v="190"/>
    <x v="0"/>
    <x v="0"/>
    <s v="Net Admin"/>
    <s v="IT"/>
    <x v="2"/>
    <d v="2022-04-26T00:00:00"/>
    <m/>
    <n v="388000"/>
    <n v="0.37"/>
    <s v="Active"/>
    <n v="3"/>
    <x v="0"/>
  </r>
  <r>
    <x v="183"/>
    <x v="191"/>
    <x v="1"/>
    <x v="20"/>
    <s v="Field Eng"/>
    <s v="Engineering"/>
    <x v="0"/>
    <d v="2020-02-28T00:00:00"/>
    <m/>
    <n v="390000"/>
    <n v="0"/>
    <s v="Active"/>
    <n v="5"/>
    <x v="0"/>
  </r>
  <r>
    <x v="184"/>
    <x v="192"/>
    <x v="1"/>
    <x v="20"/>
    <s v="Auto Eng"/>
    <s v="Engineering"/>
    <x v="0"/>
    <d v="2020-10-12T00:00:00"/>
    <m/>
    <n v="392000"/>
    <n v="0"/>
    <s v="Active"/>
    <n v="5"/>
    <x v="0"/>
  </r>
  <r>
    <x v="185"/>
    <x v="193"/>
    <x v="0"/>
    <x v="8"/>
    <s v=" Dev Eng"/>
    <s v="Engineering"/>
    <x v="1"/>
    <d v="2022-01-27T00:00:00"/>
    <m/>
    <n v="394000"/>
    <n v="0.36"/>
    <s v="Active"/>
    <n v="4"/>
    <x v="0"/>
  </r>
  <r>
    <x v="186"/>
    <x v="194"/>
    <x v="0"/>
    <x v="12"/>
    <s v="Sr. Acc Rep"/>
    <s v="Sales"/>
    <x v="0"/>
    <d v="2024-02-15T00:00:00"/>
    <m/>
    <n v="396000"/>
    <n v="0"/>
    <s v="Active"/>
    <n v="1"/>
    <x v="2"/>
  </r>
  <r>
    <x v="187"/>
    <x v="195"/>
    <x v="0"/>
    <x v="13"/>
    <s v="Field Eng"/>
    <s v="Engineering"/>
    <x v="1"/>
    <d v="2024-02-10T00:00:00"/>
    <m/>
    <n v="398000"/>
    <n v="0"/>
    <s v="Active"/>
    <n v="2"/>
    <x v="1"/>
  </r>
  <r>
    <x v="188"/>
    <x v="196"/>
    <x v="1"/>
    <x v="10"/>
    <s v="Sr. Acc Rep"/>
    <s v="Sales"/>
    <x v="2"/>
    <d v="2020-12-18T00:00:00"/>
    <m/>
    <n v="400000"/>
    <n v="0"/>
    <s v="Active"/>
    <n v="5"/>
    <x v="2"/>
  </r>
  <r>
    <x v="189"/>
    <x v="197"/>
    <x v="0"/>
    <x v="13"/>
    <s v="Auto Eng"/>
    <s v="Engineering"/>
    <x v="1"/>
    <d v="2020-01-07T00:00:00"/>
    <m/>
    <n v="402000"/>
    <n v="0"/>
    <s v="Active"/>
    <n v="6"/>
    <x v="1"/>
  </r>
  <r>
    <x v="190"/>
    <x v="198"/>
    <x v="1"/>
    <x v="14"/>
    <s v="Auto Eng"/>
    <s v="Engineering"/>
    <x v="2"/>
    <d v="2023-10-07T00:00:00"/>
    <m/>
    <n v="404000"/>
    <n v="0"/>
    <s v="Active"/>
    <n v="2"/>
    <x v="2"/>
  </r>
  <r>
    <x v="191"/>
    <x v="199"/>
    <x v="0"/>
    <x v="12"/>
    <s v="Sr. Manger"/>
    <s v="Finance"/>
    <x v="2"/>
    <d v="2021-10-18T00:00:00"/>
    <m/>
    <n v="406000"/>
    <n v="0.19"/>
    <s v="Active"/>
    <n v="4"/>
    <x v="2"/>
  </r>
  <r>
    <x v="192"/>
    <x v="200"/>
    <x v="1"/>
    <x v="14"/>
    <s v="Sr. Manger"/>
    <s v="Marketing"/>
    <x v="1"/>
    <d v="2022-08-18T00:00:00"/>
    <d v="2024-01-15T00:00:00"/>
    <n v="408000"/>
    <n v="0.15"/>
    <s v="Inactive"/>
    <n v="1"/>
    <x v="2"/>
  </r>
  <r>
    <x v="193"/>
    <x v="201"/>
    <x v="1"/>
    <x v="3"/>
    <s v="Sr. Manger"/>
    <s v="Accounting"/>
    <x v="0"/>
    <d v="2024-05-28T00:00:00"/>
    <m/>
    <n v="410000"/>
    <n v="0"/>
    <s v="Active"/>
    <n v="1"/>
    <x v="1"/>
  </r>
  <r>
    <x v="194"/>
    <x v="202"/>
    <x v="1"/>
    <x v="20"/>
    <s v="Quality Eng"/>
    <s v="Engineering"/>
    <x v="3"/>
    <d v="2022-09-07T00:00:00"/>
    <m/>
    <n v="412000"/>
    <n v="0.09"/>
    <s v="Active"/>
    <n v="3"/>
    <x v="0"/>
  </r>
  <r>
    <x v="195"/>
    <x v="203"/>
    <x v="0"/>
    <x v="8"/>
    <s v="Sr. Manger"/>
    <s v="Marketing"/>
    <x v="3"/>
    <d v="2024-01-03T00:00:00"/>
    <m/>
    <n v="414000"/>
    <n v="0"/>
    <s v="Active"/>
    <n v="2"/>
    <x v="0"/>
  </r>
  <r>
    <x v="196"/>
    <x v="204"/>
    <x v="1"/>
    <x v="20"/>
    <s v="IT Coord"/>
    <s v="IT"/>
    <x v="2"/>
    <d v="2023-05-28T00:00:00"/>
    <m/>
    <n v="416000"/>
    <n v="0"/>
    <s v="Active"/>
    <n v="2"/>
    <x v="0"/>
  </r>
  <r>
    <x v="197"/>
    <x v="205"/>
    <x v="0"/>
    <x v="4"/>
    <s v="Quality Eng"/>
    <s v="Engineering"/>
    <x v="1"/>
    <d v="2023-11-15T00:00:00"/>
    <m/>
    <n v="418000"/>
    <n v="0.4"/>
    <s v="Active"/>
    <n v="2"/>
    <x v="1"/>
  </r>
  <r>
    <x v="198"/>
    <x v="206"/>
    <x v="0"/>
    <x v="8"/>
    <s v="Quality Eng"/>
    <s v="Engineering"/>
    <x v="2"/>
    <d v="2020-01-21T00:00:00"/>
    <m/>
    <n v="420000"/>
    <n v="0.09"/>
    <s v="Active"/>
    <n v="6"/>
    <x v="0"/>
  </r>
  <r>
    <x v="199"/>
    <x v="207"/>
    <x v="0"/>
    <x v="17"/>
    <s v="Ops Eng"/>
    <s v="Engineering"/>
    <x v="0"/>
    <d v="2023-10-07T00:00:00"/>
    <m/>
    <n v="422000"/>
    <n v="0.31"/>
    <s v="Active"/>
    <n v="2"/>
    <x v="3"/>
  </r>
  <r>
    <x v="200"/>
    <x v="208"/>
    <x v="0"/>
    <x v="18"/>
    <s v="IT Coord"/>
    <s v="IT"/>
    <x v="1"/>
    <d v="2024-04-19T00:00:00"/>
    <m/>
    <n v="424000"/>
    <n v="0"/>
    <s v="Active"/>
    <n v="1"/>
    <x v="3"/>
  </r>
  <r>
    <x v="201"/>
    <x v="209"/>
    <x v="0"/>
    <x v="19"/>
    <s v="Ops Eng"/>
    <s v="Engineering"/>
    <x v="2"/>
    <d v="2020-09-09T00:00:00"/>
    <d v="2023-05-06T00:00:00"/>
    <n v="426000"/>
    <n v="0"/>
    <s v="Inactive"/>
    <n v="2"/>
    <x v="3"/>
  </r>
  <r>
    <x v="202"/>
    <x v="210"/>
    <x v="1"/>
    <x v="0"/>
    <s v="Ops Eng"/>
    <s v="Engineering"/>
    <x v="3"/>
    <d v="2023-11-03T00:00:00"/>
    <m/>
    <n v="428000"/>
    <n v="0"/>
    <s v="Active"/>
    <n v="2"/>
    <x v="0"/>
  </r>
  <r>
    <x v="203"/>
    <x v="211"/>
    <x v="1"/>
    <x v="1"/>
    <s v="IT Coord"/>
    <s v="IT"/>
    <x v="3"/>
    <d v="2021-04-30T00:00:00"/>
    <d v="2023-07-17T00:00:00"/>
    <n v="430000"/>
    <n v="0.14000000000000001"/>
    <s v="Inactive"/>
    <n v="2"/>
    <x v="1"/>
  </r>
  <r>
    <x v="204"/>
    <x v="212"/>
    <x v="0"/>
    <x v="2"/>
    <s v="Auto Eng"/>
    <s v="Engineering"/>
    <x v="3"/>
    <d v="2020-02-26T00:00:00"/>
    <m/>
    <n v="432000"/>
    <n v="0"/>
    <s v="Active"/>
    <n v="5"/>
    <x v="0"/>
  </r>
  <r>
    <x v="205"/>
    <x v="213"/>
    <x v="1"/>
    <x v="3"/>
    <s v=" Dev Eng"/>
    <s v="Engineering"/>
    <x v="3"/>
    <d v="2022-09-11T00:00:00"/>
    <m/>
    <n v="434000"/>
    <n v="0.15"/>
    <s v="Active"/>
    <n v="3"/>
    <x v="1"/>
  </r>
  <r>
    <x v="206"/>
    <x v="214"/>
    <x v="0"/>
    <x v="3"/>
    <s v="Sr. Analyst"/>
    <s v="Finance"/>
    <x v="3"/>
    <d v="2024-05-18T00:00:00"/>
    <m/>
    <n v="436000"/>
    <n v="0"/>
    <s v="Active"/>
    <n v="1"/>
    <x v="1"/>
  </r>
  <r>
    <x v="207"/>
    <x v="215"/>
    <x v="1"/>
    <x v="4"/>
    <s v="Quality Eng"/>
    <s v="Engineering"/>
    <x v="0"/>
    <d v="2021-11-09T00:00:00"/>
    <d v="2023-06-25T00:00:00"/>
    <n v="438000"/>
    <n v="0.22"/>
    <s v="Inactive"/>
    <n v="1"/>
    <x v="1"/>
  </r>
  <r>
    <x v="208"/>
    <x v="216"/>
    <x v="1"/>
    <x v="7"/>
    <s v="Ops Eng"/>
    <s v="Engineering"/>
    <x v="1"/>
    <d v="2020-05-12T00:00:00"/>
    <m/>
    <n v="440000"/>
    <n v="0.3"/>
    <s v="Active"/>
    <n v="5"/>
    <x v="1"/>
  </r>
  <r>
    <x v="209"/>
    <x v="217"/>
    <x v="0"/>
    <x v="6"/>
    <s v="Field Eng"/>
    <s v="Engineering"/>
    <x v="3"/>
    <d v="2022-09-11T00:00:00"/>
    <m/>
    <n v="442000"/>
    <n v="7.0000000000000007E-2"/>
    <s v="Active"/>
    <n v="3"/>
    <x v="1"/>
  </r>
  <r>
    <x v="210"/>
    <x v="218"/>
    <x v="1"/>
    <x v="7"/>
    <s v="Sr. Analyst"/>
    <s v="Accounting"/>
    <x v="2"/>
    <d v="2022-10-23T00:00:00"/>
    <m/>
    <n v="444000"/>
    <n v="0.11"/>
    <s v="Active"/>
    <n v="3"/>
    <x v="1"/>
  </r>
  <r>
    <x v="211"/>
    <x v="219"/>
    <x v="0"/>
    <x v="8"/>
    <s v="Net Admin"/>
    <s v="IT"/>
    <x v="3"/>
    <d v="2024-08-23T00:00:00"/>
    <m/>
    <n v="446000"/>
    <n v="0.06"/>
    <s v="Active"/>
    <n v="1"/>
    <x v="0"/>
  </r>
  <r>
    <x v="212"/>
    <x v="220"/>
    <x v="1"/>
    <x v="9"/>
    <s v="Sr. Analyst"/>
    <s v="Marketing"/>
    <x v="1"/>
    <d v="2023-11-07T00:00:00"/>
    <m/>
    <n v="448000"/>
    <n v="0.12"/>
    <s v="Active"/>
    <n v="2"/>
    <x v="3"/>
  </r>
  <r>
    <x v="213"/>
    <x v="221"/>
    <x v="1"/>
    <x v="1"/>
    <s v=" Dev Eng"/>
    <s v="Engineering"/>
    <x v="2"/>
    <d v="2023-10-07T00:00:00"/>
    <m/>
    <n v="450000"/>
    <n v="0.16"/>
    <s v="Active"/>
    <n v="2"/>
    <x v="1"/>
  </r>
  <r>
    <x v="214"/>
    <x v="222"/>
    <x v="0"/>
    <x v="8"/>
    <s v="Net Admin"/>
    <s v="IT"/>
    <x v="2"/>
    <d v="2022-04-26T00:00:00"/>
    <m/>
    <n v="452000"/>
    <n v="0.35"/>
    <s v="Active"/>
    <n v="3"/>
    <x v="0"/>
  </r>
  <r>
    <x v="215"/>
    <x v="223"/>
    <x v="1"/>
    <x v="7"/>
    <s v="Field Eng"/>
    <s v="Engineering"/>
    <x v="0"/>
    <d v="2020-02-28T00:00:00"/>
    <m/>
    <n v="454000"/>
    <n v="0.18"/>
    <s v="Active"/>
    <n v="5"/>
    <x v="1"/>
  </r>
  <r>
    <x v="216"/>
    <x v="224"/>
    <x v="0"/>
    <x v="2"/>
    <s v="Auto Eng"/>
    <s v="Engineering"/>
    <x v="0"/>
    <d v="2020-10-12T00:00:00"/>
    <m/>
    <n v="456000"/>
    <n v="0.1"/>
    <s v="Active"/>
    <n v="5"/>
    <x v="0"/>
  </r>
  <r>
    <x v="217"/>
    <x v="225"/>
    <x v="0"/>
    <x v="0"/>
    <s v=" Dev Eng"/>
    <s v="Engineering"/>
    <x v="1"/>
    <d v="2022-01-27T00:00:00"/>
    <m/>
    <n v="458000"/>
    <n v="0.11"/>
    <s v="Active"/>
    <n v="4"/>
    <x v="0"/>
  </r>
  <r>
    <x v="218"/>
    <x v="226"/>
    <x v="0"/>
    <x v="4"/>
    <s v="Sr. Acc Rep"/>
    <s v="Sales"/>
    <x v="0"/>
    <d v="2024-02-15T00:00:00"/>
    <m/>
    <n v="460000"/>
    <n v="0"/>
    <s v="Active"/>
    <n v="1"/>
    <x v="1"/>
  </r>
  <r>
    <x v="219"/>
    <x v="227"/>
    <x v="0"/>
    <x v="11"/>
    <s v="Field Eng"/>
    <s v="Engineering"/>
    <x v="1"/>
    <d v="2024-02-10T00:00:00"/>
    <m/>
    <n v="462000"/>
    <n v="0"/>
    <s v="Active"/>
    <n v="2"/>
    <x v="0"/>
  </r>
  <r>
    <x v="220"/>
    <x v="228"/>
    <x v="0"/>
    <x v="8"/>
    <s v="Sr. Acc Rep"/>
    <s v="Sales"/>
    <x v="2"/>
    <d v="2020-12-18T00:00:00"/>
    <m/>
    <n v="464000"/>
    <n v="0"/>
    <s v="Active"/>
    <n v="5"/>
    <x v="0"/>
  </r>
  <r>
    <x v="221"/>
    <x v="229"/>
    <x v="1"/>
    <x v="7"/>
    <s v="Auto Eng"/>
    <s v="Engineering"/>
    <x v="1"/>
    <d v="2020-01-07T00:00:00"/>
    <m/>
    <n v="466000"/>
    <n v="0"/>
    <s v="Active"/>
    <n v="6"/>
    <x v="1"/>
  </r>
  <r>
    <x v="222"/>
    <x v="230"/>
    <x v="0"/>
    <x v="13"/>
    <s v="Auto Eng"/>
    <s v="Engineering"/>
    <x v="2"/>
    <d v="2023-10-07T00:00:00"/>
    <m/>
    <n v="468000"/>
    <n v="0.2"/>
    <s v="Active"/>
    <n v="2"/>
    <x v="1"/>
  </r>
  <r>
    <x v="223"/>
    <x v="231"/>
    <x v="1"/>
    <x v="7"/>
    <s v="Sr. Manger"/>
    <s v="Finance"/>
    <x v="2"/>
    <d v="2021-10-18T00:00:00"/>
    <m/>
    <n v="470000"/>
    <n v="0"/>
    <s v="Active"/>
    <n v="4"/>
    <x v="1"/>
  </r>
  <r>
    <x v="224"/>
    <x v="232"/>
    <x v="0"/>
    <x v="13"/>
    <s v="Sr. Manger"/>
    <s v="Marketing"/>
    <x v="1"/>
    <d v="2022-08-18T00:00:00"/>
    <m/>
    <n v="472000"/>
    <n v="0"/>
    <s v="Active"/>
    <n v="3"/>
    <x v="1"/>
  </r>
  <r>
    <x v="225"/>
    <x v="233"/>
    <x v="1"/>
    <x v="7"/>
    <s v="Sr. Manger"/>
    <s v="Accounting"/>
    <x v="0"/>
    <d v="2024-05-28T00:00:00"/>
    <m/>
    <n v="474000"/>
    <n v="0.33"/>
    <s v="Active"/>
    <n v="1"/>
    <x v="1"/>
  </r>
  <r>
    <x v="226"/>
    <x v="234"/>
    <x v="1"/>
    <x v="7"/>
    <s v="Quality Eng"/>
    <s v="Engineering"/>
    <x v="3"/>
    <d v="2022-09-07T00:00:00"/>
    <m/>
    <n v="476000"/>
    <n v="0.14000000000000001"/>
    <s v="Active"/>
    <n v="3"/>
    <x v="1"/>
  </r>
  <r>
    <x v="227"/>
    <x v="235"/>
    <x v="1"/>
    <x v="14"/>
    <s v="Sr. Manger"/>
    <s v="Marketing"/>
    <x v="3"/>
    <d v="2022-01-03T00:00:00"/>
    <d v="2023-06-17T00:00:00"/>
    <n v="478000"/>
    <n v="0"/>
    <s v="Inactive"/>
    <n v="1"/>
    <x v="2"/>
  </r>
  <r>
    <x v="228"/>
    <x v="236"/>
    <x v="0"/>
    <x v="3"/>
    <s v="IT Coord"/>
    <s v="IT"/>
    <x v="2"/>
    <d v="2023-05-28T00:00:00"/>
    <m/>
    <n v="480000"/>
    <n v="0.38"/>
    <s v="Active"/>
    <n v="2"/>
    <x v="1"/>
  </r>
  <r>
    <x v="229"/>
    <x v="237"/>
    <x v="1"/>
    <x v="1"/>
    <s v="Quality Eng"/>
    <s v="Engineering"/>
    <x v="1"/>
    <d v="2023-11-15T00:00:00"/>
    <m/>
    <n v="482000"/>
    <n v="0.3"/>
    <s v="Active"/>
    <n v="2"/>
    <x v="1"/>
  </r>
  <r>
    <x v="230"/>
    <x v="238"/>
    <x v="0"/>
    <x v="8"/>
    <s v="Quality Eng"/>
    <s v="Engineering"/>
    <x v="2"/>
    <d v="2020-01-21T00:00:00"/>
    <m/>
    <n v="484000"/>
    <n v="0.31"/>
    <s v="Active"/>
    <n v="6"/>
    <x v="0"/>
  </r>
  <r>
    <x v="231"/>
    <x v="239"/>
    <x v="1"/>
    <x v="15"/>
    <s v="Ops Eng"/>
    <s v="Engineering"/>
    <x v="0"/>
    <d v="2023-10-07T00:00:00"/>
    <m/>
    <n v="486000"/>
    <n v="0.14000000000000001"/>
    <s v="Active"/>
    <n v="2"/>
    <x v="1"/>
  </r>
  <r>
    <x v="232"/>
    <x v="240"/>
    <x v="1"/>
    <x v="4"/>
    <s v="IT Coord"/>
    <s v="IT"/>
    <x v="1"/>
    <d v="2024-04-19T00:00:00"/>
    <m/>
    <n v="488000"/>
    <n v="0"/>
    <s v="Active"/>
    <n v="1"/>
    <x v="1"/>
  </r>
  <r>
    <x v="233"/>
    <x v="241"/>
    <x v="0"/>
    <x v="8"/>
    <s v="Ops Eng"/>
    <s v="Engineering"/>
    <x v="2"/>
    <d v="2020-09-09T00:00:00"/>
    <m/>
    <n v="490000"/>
    <n v="0"/>
    <s v="Active"/>
    <n v="5"/>
    <x v="0"/>
  </r>
  <r>
    <x v="54"/>
    <x v="242"/>
    <x v="0"/>
    <x v="17"/>
    <s v="Ops Eng"/>
    <s v="Engineering"/>
    <x v="3"/>
    <d v="2023-11-03T00:00:00"/>
    <m/>
    <n v="492000"/>
    <n v="0.09"/>
    <s v="Active"/>
    <n v="2"/>
    <x v="3"/>
  </r>
  <r>
    <x v="234"/>
    <x v="243"/>
    <x v="0"/>
    <x v="18"/>
    <s v="IT Coord"/>
    <s v="IT"/>
    <x v="3"/>
    <d v="2024-04-30T00:00:00"/>
    <m/>
    <n v="494000"/>
    <n v="0.28999999999999998"/>
    <s v="Active"/>
    <n v="1"/>
    <x v="3"/>
  </r>
  <r>
    <x v="235"/>
    <x v="244"/>
    <x v="0"/>
    <x v="19"/>
    <s v="Auto Eng"/>
    <s v="Engineering"/>
    <x v="3"/>
    <d v="2020-02-26T00:00:00"/>
    <m/>
    <n v="496000"/>
    <n v="0"/>
    <s v="Active"/>
    <n v="5"/>
    <x v="3"/>
  </r>
  <r>
    <x v="236"/>
    <x v="245"/>
    <x v="0"/>
    <x v="0"/>
    <s v=" Dev Eng"/>
    <s v="Engineering"/>
    <x v="3"/>
    <d v="2022-09-11T00:00:00"/>
    <m/>
    <n v="498000"/>
    <n v="0.3"/>
    <s v="Active"/>
    <n v="3"/>
    <x v="0"/>
  </r>
  <r>
    <x v="237"/>
    <x v="246"/>
    <x v="1"/>
    <x v="1"/>
    <s v="Sr. Analyst"/>
    <s v="Finance"/>
    <x v="3"/>
    <d v="2024-05-18T00:00:00"/>
    <m/>
    <n v="500000"/>
    <n v="0"/>
    <s v="Active"/>
    <n v="1"/>
    <x v="1"/>
  </r>
  <r>
    <x v="238"/>
    <x v="247"/>
    <x v="0"/>
    <x v="2"/>
    <s v="Quality Eng"/>
    <s v="Engineering"/>
    <x v="0"/>
    <d v="2021-11-09T00:00:00"/>
    <m/>
    <n v="502000"/>
    <n v="0"/>
    <s v="Active"/>
    <n v="4"/>
    <x v="0"/>
  </r>
  <r>
    <x v="239"/>
    <x v="248"/>
    <x v="1"/>
    <x v="7"/>
    <s v="Ops Eng"/>
    <s v="Engineering"/>
    <x v="1"/>
    <d v="2020-05-12T00:00:00"/>
    <m/>
    <n v="504000"/>
    <n v="0.23"/>
    <s v="Active"/>
    <n v="5"/>
    <x v="1"/>
  </r>
  <r>
    <x v="5"/>
    <x v="249"/>
    <x v="1"/>
    <x v="7"/>
    <s v="Field Eng"/>
    <s v="Engineering"/>
    <x v="3"/>
    <d v="2022-09-11T00:00:00"/>
    <m/>
    <n v="506000"/>
    <n v="0"/>
    <s v="Active"/>
    <n v="3"/>
    <x v="1"/>
  </r>
  <r>
    <x v="240"/>
    <x v="250"/>
    <x v="0"/>
    <x v="4"/>
    <s v="Sr. Analyst"/>
    <s v="Accounting"/>
    <x v="2"/>
    <d v="2022-10-23T00:00:00"/>
    <m/>
    <n v="508000"/>
    <n v="0"/>
    <s v="Active"/>
    <n v="3"/>
    <x v="1"/>
  </r>
  <r>
    <x v="241"/>
    <x v="251"/>
    <x v="1"/>
    <x v="7"/>
    <s v="Net Admin"/>
    <s v="IT"/>
    <x v="3"/>
    <d v="2024-08-23T00:00:00"/>
    <m/>
    <n v="510000"/>
    <n v="0.15"/>
    <s v="Active"/>
    <n v="1"/>
    <x v="1"/>
  </r>
  <r>
    <x v="242"/>
    <x v="252"/>
    <x v="1"/>
    <x v="6"/>
    <s v="Sr. Analyst"/>
    <s v="Marketing"/>
    <x v="1"/>
    <d v="2023-11-07T00:00:00"/>
    <m/>
    <n v="512000"/>
    <n v="0"/>
    <s v="Active"/>
    <n v="2"/>
    <x v="1"/>
  </r>
  <r>
    <x v="81"/>
    <x v="253"/>
    <x v="1"/>
    <x v="7"/>
    <s v=" Dev Eng"/>
    <s v="Engineering"/>
    <x v="2"/>
    <d v="2023-10-07T00:00:00"/>
    <m/>
    <n v="514000"/>
    <n v="0"/>
    <s v="Active"/>
    <n v="2"/>
    <x v="1"/>
  </r>
  <r>
    <x v="243"/>
    <x v="254"/>
    <x v="0"/>
    <x v="8"/>
    <s v="Net Admin"/>
    <s v="IT"/>
    <x v="2"/>
    <d v="2022-04-26T00:00:00"/>
    <m/>
    <n v="516000"/>
    <n v="0.31"/>
    <s v="Active"/>
    <n v="3"/>
    <x v="0"/>
  </r>
  <r>
    <x v="6"/>
    <x v="255"/>
    <x v="0"/>
    <x v="9"/>
    <s v="Field Eng"/>
    <s v="Engineering"/>
    <x v="0"/>
    <d v="2020-02-28T00:00:00"/>
    <m/>
    <n v="518000"/>
    <n v="0"/>
    <s v="Active"/>
    <n v="5"/>
    <x v="3"/>
  </r>
  <r>
    <x v="244"/>
    <x v="256"/>
    <x v="1"/>
    <x v="1"/>
    <s v="Auto Eng"/>
    <s v="Engineering"/>
    <x v="0"/>
    <d v="2020-10-12T00:00:00"/>
    <m/>
    <n v="520000"/>
    <n v="0"/>
    <s v="Active"/>
    <n v="5"/>
    <x v="1"/>
  </r>
  <r>
    <x v="245"/>
    <x v="257"/>
    <x v="0"/>
    <x v="8"/>
    <s v=" Dev Eng"/>
    <s v="Engineering"/>
    <x v="1"/>
    <d v="2022-01-27T00:00:00"/>
    <m/>
    <n v="522000"/>
    <n v="0.39"/>
    <s v="Active"/>
    <n v="4"/>
    <x v="0"/>
  </r>
  <r>
    <x v="246"/>
    <x v="258"/>
    <x v="0"/>
    <x v="10"/>
    <s v="Sr. Acc Rep"/>
    <s v="Sales"/>
    <x v="0"/>
    <d v="2024-02-15T00:00:00"/>
    <m/>
    <n v="524000"/>
    <n v="0"/>
    <s v="Active"/>
    <n v="1"/>
    <x v="2"/>
  </r>
  <r>
    <x v="247"/>
    <x v="259"/>
    <x v="0"/>
    <x v="2"/>
    <s v="Field Eng"/>
    <s v="Engineering"/>
    <x v="1"/>
    <d v="2024-02-10T00:00:00"/>
    <m/>
    <n v="526000"/>
    <n v="0"/>
    <s v="Active"/>
    <n v="2"/>
    <x v="0"/>
  </r>
  <r>
    <x v="248"/>
    <x v="260"/>
    <x v="0"/>
    <x v="0"/>
    <s v="Sr. Acc Rep"/>
    <s v="Sales"/>
    <x v="2"/>
    <d v="2020-12-18T00:00:00"/>
    <m/>
    <n v="528000"/>
    <n v="0"/>
    <s v="Active"/>
    <n v="5"/>
    <x v="0"/>
  </r>
  <r>
    <x v="249"/>
    <x v="261"/>
    <x v="1"/>
    <x v="4"/>
    <s v="Auto Eng"/>
    <s v="Engineering"/>
    <x v="1"/>
    <d v="2020-01-07T00:00:00"/>
    <m/>
    <n v="530000"/>
    <n v="0.15"/>
    <s v="Active"/>
    <n v="6"/>
    <x v="1"/>
  </r>
  <r>
    <x v="250"/>
    <x v="262"/>
    <x v="0"/>
    <x v="11"/>
    <s v="Auto Eng"/>
    <s v="Engineering"/>
    <x v="2"/>
    <d v="2023-10-07T00:00:00"/>
    <m/>
    <n v="532000"/>
    <n v="0"/>
    <s v="Active"/>
    <n v="2"/>
    <x v="0"/>
  </r>
  <r>
    <x v="251"/>
    <x v="263"/>
    <x v="0"/>
    <x v="8"/>
    <s v="Sr. Manger"/>
    <s v="Finance"/>
    <x v="2"/>
    <d v="2021-10-18T00:00:00"/>
    <m/>
    <n v="534000"/>
    <n v="0.15"/>
    <s v="Active"/>
    <n v="4"/>
    <x v="0"/>
  </r>
  <r>
    <x v="252"/>
    <x v="264"/>
    <x v="0"/>
    <x v="12"/>
    <s v="Sr. Manger"/>
    <s v="Marketing"/>
    <x v="1"/>
    <d v="2022-08-18T00:00:00"/>
    <d v="2024-10-11T00:00:00"/>
    <n v="536000"/>
    <n v="0"/>
    <s v="Inactive"/>
    <n v="2"/>
    <x v="2"/>
  </r>
  <r>
    <x v="253"/>
    <x v="265"/>
    <x v="1"/>
    <x v="13"/>
    <s v="Sr. Manger"/>
    <s v="Accounting"/>
    <x v="0"/>
    <d v="2024-05-28T00:00:00"/>
    <m/>
    <n v="538000"/>
    <n v="0.17"/>
    <s v="Active"/>
    <n v="1"/>
    <x v="1"/>
  </r>
  <r>
    <x v="254"/>
    <x v="266"/>
    <x v="1"/>
    <x v="7"/>
    <s v="Quality Eng"/>
    <s v="Engineering"/>
    <x v="3"/>
    <d v="2022-09-07T00:00:00"/>
    <m/>
    <n v="540000"/>
    <n v="0"/>
    <s v="Active"/>
    <n v="3"/>
    <x v="1"/>
  </r>
  <r>
    <x v="255"/>
    <x v="267"/>
    <x v="1"/>
    <x v="13"/>
    <s v="Sr. Manger"/>
    <s v="Marketing"/>
    <x v="3"/>
    <d v="2024-01-03T00:00:00"/>
    <m/>
    <n v="542000"/>
    <n v="0.14000000000000001"/>
    <s v="Active"/>
    <n v="2"/>
    <x v="1"/>
  </r>
  <r>
    <x v="256"/>
    <x v="268"/>
    <x v="0"/>
    <x v="14"/>
    <s v="IT Coord"/>
    <s v="IT"/>
    <x v="2"/>
    <d v="2023-05-28T00:00:00"/>
    <m/>
    <n v="544000"/>
    <n v="0.23"/>
    <s v="Active"/>
    <n v="2"/>
    <x v="2"/>
  </r>
  <r>
    <x v="257"/>
    <x v="269"/>
    <x v="1"/>
    <x v="7"/>
    <s v="Quality Eng"/>
    <s v="Engineering"/>
    <x v="1"/>
    <d v="2023-11-15T00:00:00"/>
    <m/>
    <n v="546000"/>
    <n v="0"/>
    <s v="Active"/>
    <n v="2"/>
    <x v="1"/>
  </r>
  <r>
    <x v="258"/>
    <x v="270"/>
    <x v="0"/>
    <x v="14"/>
    <s v="Quality Eng"/>
    <s v="Engineering"/>
    <x v="2"/>
    <d v="2020-01-21T00:00:00"/>
    <m/>
    <n v="548000"/>
    <n v="7.0000000000000007E-2"/>
    <s v="Active"/>
    <n v="6"/>
    <x v="2"/>
  </r>
  <r>
    <x v="259"/>
    <x v="271"/>
    <x v="0"/>
    <x v="3"/>
    <s v="Ops Eng"/>
    <s v="Engineering"/>
    <x v="0"/>
    <d v="2023-10-07T00:00:00"/>
    <d v="2024-08-10T00:00:00"/>
    <n v="550000"/>
    <n v="0"/>
    <s v="Inactive"/>
    <n v="0"/>
    <x v="1"/>
  </r>
  <r>
    <x v="260"/>
    <x v="272"/>
    <x v="1"/>
    <x v="1"/>
    <s v="IT Coord"/>
    <s v="IT"/>
    <x v="1"/>
    <d v="2024-04-19T00:00:00"/>
    <m/>
    <n v="552000"/>
    <n v="0"/>
    <s v="Active"/>
    <n v="1"/>
    <x v="1"/>
  </r>
  <r>
    <x v="261"/>
    <x v="273"/>
    <x v="0"/>
    <x v="8"/>
    <s v="Ops Eng"/>
    <s v="Engineering"/>
    <x v="2"/>
    <d v="2020-09-09T00:00:00"/>
    <m/>
    <n v="554000"/>
    <n v="0"/>
    <s v="Active"/>
    <n v="5"/>
    <x v="0"/>
  </r>
  <r>
    <x v="262"/>
    <x v="274"/>
    <x v="1"/>
    <x v="15"/>
    <s v="Ops Eng"/>
    <s v="Engineering"/>
    <x v="3"/>
    <d v="2023-11-03T00:00:00"/>
    <m/>
    <n v="556000"/>
    <n v="0"/>
    <s v="Active"/>
    <n v="2"/>
    <x v="1"/>
  </r>
  <r>
    <x v="263"/>
    <x v="275"/>
    <x v="1"/>
    <x v="4"/>
    <s v="IT Coord"/>
    <s v="IT"/>
    <x v="3"/>
    <d v="2020-04-30T00:00:00"/>
    <d v="2023-07-27T00:00:00"/>
    <n v="558000"/>
    <n v="0.27"/>
    <s v="Inactive"/>
    <n v="3"/>
    <x v="1"/>
  </r>
  <r>
    <x v="264"/>
    <x v="276"/>
    <x v="0"/>
    <x v="8"/>
    <s v="Auto Eng"/>
    <s v="Engineering"/>
    <x v="3"/>
    <d v="2020-02-26T00:00:00"/>
    <m/>
    <n v="560000"/>
    <n v="0"/>
    <s v="Active"/>
    <n v="5"/>
    <x v="0"/>
  </r>
  <r>
    <x v="265"/>
    <x v="277"/>
    <x v="0"/>
    <x v="17"/>
    <s v=" Dev Eng"/>
    <s v="Engineering"/>
    <x v="3"/>
    <d v="2022-09-11T00:00:00"/>
    <m/>
    <n v="562000"/>
    <n v="0"/>
    <s v="Active"/>
    <n v="3"/>
    <x v="3"/>
  </r>
  <r>
    <x v="266"/>
    <x v="278"/>
    <x v="0"/>
    <x v="18"/>
    <s v="Sr. Analyst"/>
    <s v="Finance"/>
    <x v="3"/>
    <d v="2024-05-18T00:00:00"/>
    <m/>
    <n v="564000"/>
    <n v="0.15"/>
    <s v="Active"/>
    <n v="1"/>
    <x v="3"/>
  </r>
  <r>
    <x v="267"/>
    <x v="279"/>
    <x v="0"/>
    <x v="19"/>
    <s v="Quality Eng"/>
    <s v="Engineering"/>
    <x v="0"/>
    <d v="2021-11-09T00:00:00"/>
    <m/>
    <n v="566000"/>
    <n v="0.15"/>
    <s v="Active"/>
    <n v="4"/>
    <x v="3"/>
  </r>
  <r>
    <x v="268"/>
    <x v="280"/>
    <x v="1"/>
    <x v="0"/>
    <s v="Ops Eng"/>
    <s v="Engineering"/>
    <x v="1"/>
    <d v="2020-05-12T00:00:00"/>
    <m/>
    <n v="568000"/>
    <n v="0"/>
    <s v="Active"/>
    <n v="5"/>
    <x v="0"/>
  </r>
  <r>
    <x v="269"/>
    <x v="281"/>
    <x v="1"/>
    <x v="1"/>
    <s v="Field Eng"/>
    <s v="Engineering"/>
    <x v="3"/>
    <d v="2022-09-11T00:00:00"/>
    <m/>
    <n v="570000"/>
    <n v="0.1"/>
    <s v="Active"/>
    <n v="3"/>
    <x v="1"/>
  </r>
  <r>
    <x v="270"/>
    <x v="282"/>
    <x v="0"/>
    <x v="2"/>
    <s v="Sr. Analyst"/>
    <s v="Accounting"/>
    <x v="2"/>
    <d v="2022-10-23T00:00:00"/>
    <m/>
    <n v="572000"/>
    <n v="0"/>
    <s v="Active"/>
    <n v="3"/>
    <x v="0"/>
  </r>
  <r>
    <x v="271"/>
    <x v="283"/>
    <x v="0"/>
    <x v="3"/>
    <s v="Net Admin"/>
    <s v="IT"/>
    <x v="3"/>
    <d v="2024-08-23T00:00:00"/>
    <m/>
    <n v="574000"/>
    <n v="0"/>
    <s v="Active"/>
    <n v="1"/>
    <x v="1"/>
  </r>
  <r>
    <x v="272"/>
    <x v="284"/>
    <x v="1"/>
    <x v="7"/>
    <s v="Sr. Analyst"/>
    <s v="Marketing"/>
    <x v="1"/>
    <d v="2023-11-07T00:00:00"/>
    <m/>
    <n v="576000"/>
    <n v="0.14000000000000001"/>
    <s v="Active"/>
    <n v="2"/>
    <x v="1"/>
  </r>
  <r>
    <x v="273"/>
    <x v="285"/>
    <x v="1"/>
    <x v="4"/>
    <s v=" Dev Eng"/>
    <s v="Engineering"/>
    <x v="2"/>
    <d v="2023-10-07T00:00:00"/>
    <m/>
    <n v="578000"/>
    <n v="0.15"/>
    <s v="Active"/>
    <n v="2"/>
    <x v="1"/>
  </r>
  <r>
    <x v="274"/>
    <x v="286"/>
    <x v="1"/>
    <x v="7"/>
    <s v="Net Admin"/>
    <s v="IT"/>
    <x v="2"/>
    <d v="2022-04-26T00:00:00"/>
    <m/>
    <n v="580000"/>
    <n v="0"/>
    <s v="Active"/>
    <n v="3"/>
    <x v="1"/>
  </r>
  <r>
    <x v="275"/>
    <x v="287"/>
    <x v="0"/>
    <x v="6"/>
    <s v="Field Eng"/>
    <s v="Engineering"/>
    <x v="0"/>
    <d v="2020-02-28T00:00:00"/>
    <m/>
    <n v="582000"/>
    <n v="0.06"/>
    <s v="Active"/>
    <n v="5"/>
    <x v="1"/>
  </r>
  <r>
    <x v="276"/>
    <x v="288"/>
    <x v="1"/>
    <x v="7"/>
    <s v="Auto Eng"/>
    <s v="Engineering"/>
    <x v="0"/>
    <d v="2020-10-12T00:00:00"/>
    <m/>
    <n v="584000"/>
    <n v="0.1"/>
    <s v="Active"/>
    <n v="5"/>
    <x v="1"/>
  </r>
  <r>
    <x v="277"/>
    <x v="289"/>
    <x v="0"/>
    <x v="8"/>
    <s v=" Dev Eng"/>
    <s v="Engineering"/>
    <x v="1"/>
    <d v="2022-01-27T00:00:00"/>
    <m/>
    <n v="586000"/>
    <n v="0.05"/>
    <s v="Active"/>
    <n v="4"/>
    <x v="0"/>
  </r>
  <r>
    <x v="278"/>
    <x v="290"/>
    <x v="0"/>
    <x v="9"/>
    <s v="Sr. Acc Rep"/>
    <s v="Sales"/>
    <x v="0"/>
    <d v="2024-02-15T00:00:00"/>
    <m/>
    <n v="588000"/>
    <n v="0.36"/>
    <s v="Active"/>
    <n v="1"/>
    <x v="3"/>
  </r>
  <r>
    <x v="135"/>
    <x v="291"/>
    <x v="0"/>
    <x v="1"/>
    <s v="Field Eng"/>
    <s v="Engineering"/>
    <x v="1"/>
    <d v="2024-02-10T00:00:00"/>
    <m/>
    <n v="590000"/>
    <n v="0.33"/>
    <s v="Active"/>
    <n v="2"/>
    <x v="1"/>
  </r>
  <r>
    <x v="279"/>
    <x v="292"/>
    <x v="0"/>
    <x v="8"/>
    <s v="Sr. Acc Rep"/>
    <s v="Sales"/>
    <x v="2"/>
    <d v="2020-12-18T00:00:00"/>
    <m/>
    <n v="592000"/>
    <n v="0.11"/>
    <s v="Active"/>
    <n v="5"/>
    <x v="0"/>
  </r>
  <r>
    <x v="280"/>
    <x v="293"/>
    <x v="0"/>
    <x v="10"/>
    <s v="Auto Eng"/>
    <s v="Engineering"/>
    <x v="1"/>
    <d v="2020-01-07T00:00:00"/>
    <d v="2023-10-07T00:00:00"/>
    <n v="594000"/>
    <n v="0"/>
    <s v="Inactive"/>
    <n v="3"/>
    <x v="2"/>
  </r>
  <r>
    <x v="281"/>
    <x v="294"/>
    <x v="0"/>
    <x v="2"/>
    <s v="Auto Eng"/>
    <s v="Engineering"/>
    <x v="2"/>
    <d v="2023-10-07T00:00:00"/>
    <m/>
    <n v="596000"/>
    <n v="0.06"/>
    <s v="Active"/>
    <n v="2"/>
    <x v="0"/>
  </r>
  <r>
    <x v="105"/>
    <x v="295"/>
    <x v="0"/>
    <x v="0"/>
    <s v="Sr. Manger"/>
    <s v="Finance"/>
    <x v="2"/>
    <d v="2021-10-18T00:00:00"/>
    <m/>
    <n v="598000"/>
    <n v="0"/>
    <s v="Active"/>
    <n v="4"/>
    <x v="0"/>
  </r>
  <r>
    <x v="282"/>
    <x v="296"/>
    <x v="1"/>
    <x v="4"/>
    <s v="Sr. Manger"/>
    <s v="Marketing"/>
    <x v="1"/>
    <d v="2022-08-18T00:00:00"/>
    <m/>
    <n v="600000"/>
    <n v="0.06"/>
    <s v="Active"/>
    <n v="3"/>
    <x v="1"/>
  </r>
  <r>
    <x v="283"/>
    <x v="297"/>
    <x v="0"/>
    <x v="11"/>
    <s v="Sr. Manger"/>
    <s v="Accounting"/>
    <x v="0"/>
    <d v="2024-05-28T00:00:00"/>
    <m/>
    <n v="602000"/>
    <n v="0.39"/>
    <s v="Active"/>
    <n v="1"/>
    <x v="0"/>
  </r>
  <r>
    <x v="284"/>
    <x v="298"/>
    <x v="0"/>
    <x v="8"/>
    <s v="Quality Eng"/>
    <s v="Engineering"/>
    <x v="3"/>
    <d v="2022-09-07T00:00:00"/>
    <m/>
    <n v="604000"/>
    <n v="0"/>
    <s v="Active"/>
    <n v="3"/>
    <x v="0"/>
  </r>
  <r>
    <x v="285"/>
    <x v="299"/>
    <x v="1"/>
    <x v="7"/>
    <s v="Sr. Manger"/>
    <s v="Marketing"/>
    <x v="3"/>
    <d v="2024-01-03T00:00:00"/>
    <m/>
    <n v="606000"/>
    <n v="0"/>
    <s v="Active"/>
    <n v="2"/>
    <x v="1"/>
  </r>
  <r>
    <x v="286"/>
    <x v="300"/>
    <x v="1"/>
    <x v="13"/>
    <s v="IT Coord"/>
    <s v="IT"/>
    <x v="2"/>
    <d v="2023-05-28T00:00:00"/>
    <d v="2024-04-19T00:00:00"/>
    <n v="608000"/>
    <n v="0.28999999999999998"/>
    <s v="Inactive"/>
    <n v="0"/>
    <x v="1"/>
  </r>
  <r>
    <x v="287"/>
    <x v="301"/>
    <x v="0"/>
    <x v="10"/>
    <s v="Quality Eng"/>
    <s v="Engineering"/>
    <x v="1"/>
    <d v="2023-11-15T00:00:00"/>
    <m/>
    <n v="610000"/>
    <n v="0"/>
    <s v="Active"/>
    <n v="2"/>
    <x v="2"/>
  </r>
  <r>
    <x v="288"/>
    <x v="302"/>
    <x v="1"/>
    <x v="13"/>
    <s v="Quality Eng"/>
    <s v="Engineering"/>
    <x v="2"/>
    <d v="2020-01-21T00:00:00"/>
    <m/>
    <n v="612000"/>
    <n v="0"/>
    <s v="Active"/>
    <n v="6"/>
    <x v="1"/>
  </r>
  <r>
    <x v="289"/>
    <x v="303"/>
    <x v="0"/>
    <x v="14"/>
    <s v="Ops Eng"/>
    <s v="Engineering"/>
    <x v="0"/>
    <d v="2023-10-07T00:00:00"/>
    <m/>
    <n v="614000"/>
    <n v="0"/>
    <s v="Active"/>
    <n v="2"/>
    <x v="2"/>
  </r>
  <r>
    <x v="290"/>
    <x v="304"/>
    <x v="0"/>
    <x v="12"/>
    <s v="IT Coord"/>
    <s v="IT"/>
    <x v="1"/>
    <d v="2024-04-19T00:00:00"/>
    <m/>
    <n v="616000"/>
    <n v="0.2"/>
    <s v="Active"/>
    <n v="1"/>
    <x v="2"/>
  </r>
  <r>
    <x v="291"/>
    <x v="305"/>
    <x v="1"/>
    <x v="7"/>
    <s v="Ops Eng"/>
    <s v="Engineering"/>
    <x v="2"/>
    <d v="2020-09-09T00:00:00"/>
    <m/>
    <n v="618000"/>
    <n v="0.28999999999999998"/>
    <s v="Active"/>
    <n v="5"/>
    <x v="1"/>
  </r>
  <r>
    <x v="292"/>
    <x v="306"/>
    <x v="1"/>
    <x v="7"/>
    <s v="Ops Eng"/>
    <s v="Engineering"/>
    <x v="3"/>
    <d v="2023-11-03T00:00:00"/>
    <m/>
    <n v="620000"/>
    <n v="0"/>
    <s v="Active"/>
    <n v="2"/>
    <x v="1"/>
  </r>
  <r>
    <x v="293"/>
    <x v="307"/>
    <x v="1"/>
    <x v="1"/>
    <s v="IT Coord"/>
    <s v="IT"/>
    <x v="3"/>
    <d v="2024-04-30T00:00:00"/>
    <m/>
    <n v="622000"/>
    <n v="0"/>
    <s v="Active"/>
    <n v="1"/>
    <x v="1"/>
  </r>
  <r>
    <x v="294"/>
    <x v="308"/>
    <x v="1"/>
    <x v="8"/>
    <s v="Auto Eng"/>
    <s v="Engineering"/>
    <x v="3"/>
    <d v="2020-02-26T00:00:00"/>
    <m/>
    <n v="624000"/>
    <n v="0"/>
    <s v="Active"/>
    <n v="5"/>
    <x v="0"/>
  </r>
  <r>
    <x v="295"/>
    <x v="309"/>
    <x v="1"/>
    <x v="15"/>
    <s v=" Dev Eng"/>
    <s v="Engineering"/>
    <x v="3"/>
    <d v="2022-09-11T00:00:00"/>
    <m/>
    <n v="626000"/>
    <n v="0.22"/>
    <s v="Active"/>
    <n v="3"/>
    <x v="1"/>
  </r>
  <r>
    <x v="11"/>
    <x v="310"/>
    <x v="0"/>
    <x v="4"/>
    <s v="Sr. Analyst"/>
    <s v="Finance"/>
    <x v="3"/>
    <d v="2024-05-18T00:00:00"/>
    <m/>
    <n v="628000"/>
    <n v="7.0000000000000007E-2"/>
    <s v="Active"/>
    <n v="1"/>
    <x v="1"/>
  </r>
  <r>
    <x v="296"/>
    <x v="311"/>
    <x v="1"/>
    <x v="8"/>
    <s v="Quality Eng"/>
    <s v="Engineering"/>
    <x v="0"/>
    <d v="2021-11-09T00:00:00"/>
    <m/>
    <n v="630000"/>
    <n v="0"/>
    <s v="Active"/>
    <n v="4"/>
    <x v="0"/>
  </r>
  <r>
    <x v="297"/>
    <x v="312"/>
    <x v="0"/>
    <x v="17"/>
    <s v="Ops Eng"/>
    <s v="Engineering"/>
    <x v="1"/>
    <d v="2020-05-12T00:00:00"/>
    <m/>
    <n v="632000"/>
    <n v="0"/>
    <s v="Active"/>
    <n v="5"/>
    <x v="3"/>
  </r>
  <r>
    <x v="298"/>
    <x v="313"/>
    <x v="0"/>
    <x v="18"/>
    <s v="Field Eng"/>
    <s v="Engineering"/>
    <x v="3"/>
    <d v="2022-09-11T00:00:00"/>
    <m/>
    <n v="634000"/>
    <n v="0"/>
    <s v="Active"/>
    <n v="3"/>
    <x v="3"/>
  </r>
  <r>
    <x v="299"/>
    <x v="314"/>
    <x v="0"/>
    <x v="19"/>
    <s v="Sr. Analyst"/>
    <s v="Accounting"/>
    <x v="2"/>
    <d v="2022-10-23T00:00:00"/>
    <m/>
    <n v="636000"/>
    <n v="0"/>
    <s v="Active"/>
    <n v="3"/>
    <x v="3"/>
  </r>
  <r>
    <x v="300"/>
    <x v="315"/>
    <x v="0"/>
    <x v="0"/>
    <s v="Net Admin"/>
    <s v="IT"/>
    <x v="3"/>
    <d v="2024-08-23T00:00:00"/>
    <m/>
    <n v="638000"/>
    <n v="0.05"/>
    <s v="Active"/>
    <n v="1"/>
    <x v="0"/>
  </r>
  <r>
    <x v="301"/>
    <x v="316"/>
    <x v="1"/>
    <x v="1"/>
    <s v="Sr. Analyst"/>
    <s v="Marketing"/>
    <x v="1"/>
    <d v="2023-11-07T00:00:00"/>
    <m/>
    <n v="640000"/>
    <n v="0.34"/>
    <s v="Active"/>
    <n v="2"/>
    <x v="1"/>
  </r>
  <r>
    <x v="200"/>
    <x v="317"/>
    <x v="1"/>
    <x v="2"/>
    <s v=" Dev Eng"/>
    <s v="Engineering"/>
    <x v="2"/>
    <d v="2023-10-07T00:00:00"/>
    <m/>
    <n v="642000"/>
    <n v="0.35"/>
    <s v="Active"/>
    <n v="2"/>
    <x v="0"/>
  </r>
  <r>
    <x v="302"/>
    <x v="318"/>
    <x v="1"/>
    <x v="3"/>
    <s v="Net Admin"/>
    <s v="IT"/>
    <x v="2"/>
    <d v="2022-04-26T00:00:00"/>
    <d v="2024-04-30T00:00:00"/>
    <n v="644000"/>
    <n v="0"/>
    <s v="Inactive"/>
    <n v="2"/>
    <x v="1"/>
  </r>
  <r>
    <x v="303"/>
    <x v="319"/>
    <x v="1"/>
    <x v="7"/>
    <s v="Field Eng"/>
    <s v="Engineering"/>
    <x v="0"/>
    <d v="2020-02-28T00:00:00"/>
    <m/>
    <n v="646000"/>
    <n v="0"/>
    <s v="Active"/>
    <n v="5"/>
    <x v="1"/>
  </r>
  <r>
    <x v="304"/>
    <x v="320"/>
    <x v="0"/>
    <x v="4"/>
    <s v="Auto Eng"/>
    <s v="Engineering"/>
    <x v="0"/>
    <d v="2020-10-12T00:00:00"/>
    <m/>
    <n v="648000"/>
    <n v="0"/>
    <s v="Active"/>
    <n v="5"/>
    <x v="1"/>
  </r>
  <r>
    <x v="305"/>
    <x v="321"/>
    <x v="1"/>
    <x v="7"/>
    <s v=" Dev Eng"/>
    <s v="Engineering"/>
    <x v="1"/>
    <d v="2022-01-27T00:00:00"/>
    <m/>
    <n v="650000"/>
    <n v="0.28000000000000003"/>
    <s v="Active"/>
    <n v="4"/>
    <x v="1"/>
  </r>
  <r>
    <x v="306"/>
    <x v="322"/>
    <x v="0"/>
    <x v="6"/>
    <s v="Sr. Acc Rep"/>
    <s v="Sales"/>
    <x v="0"/>
    <d v="2024-02-15T00:00:00"/>
    <m/>
    <n v="652000"/>
    <n v="0.19"/>
    <s v="Active"/>
    <n v="1"/>
    <x v="1"/>
  </r>
  <r>
    <x v="307"/>
    <x v="323"/>
    <x v="0"/>
    <x v="7"/>
    <s v="Field Eng"/>
    <s v="Engineering"/>
    <x v="1"/>
    <d v="2020-01-21T00:00:00"/>
    <d v="2024-05-28T00:00:00"/>
    <n v="654000"/>
    <n v="0"/>
    <s v="Inactive"/>
    <n v="4"/>
    <x v="1"/>
  </r>
  <r>
    <x v="308"/>
    <x v="324"/>
    <x v="0"/>
    <x v="8"/>
    <s v="Sr. Acc Rep"/>
    <s v="Sales"/>
    <x v="2"/>
    <d v="2020-12-18T00:00:00"/>
    <m/>
    <n v="656000"/>
    <n v="0.28999999999999998"/>
    <s v="Active"/>
    <n v="5"/>
    <x v="0"/>
  </r>
  <r>
    <x v="309"/>
    <x v="325"/>
    <x v="0"/>
    <x v="9"/>
    <s v="Auto Eng"/>
    <s v="Engineering"/>
    <x v="1"/>
    <d v="2020-01-07T00:00:00"/>
    <m/>
    <n v="658000"/>
    <n v="0"/>
    <s v="Active"/>
    <n v="6"/>
    <x v="3"/>
  </r>
  <r>
    <x v="310"/>
    <x v="326"/>
    <x v="1"/>
    <x v="1"/>
    <s v="Auto Eng"/>
    <s v="Engineering"/>
    <x v="2"/>
    <d v="2023-10-07T00:00:00"/>
    <m/>
    <n v="660000"/>
    <n v="0"/>
    <s v="Active"/>
    <n v="2"/>
    <x v="1"/>
  </r>
  <r>
    <x v="311"/>
    <x v="327"/>
    <x v="0"/>
    <x v="8"/>
    <s v="Sr. Manger"/>
    <s v="Finance"/>
    <x v="2"/>
    <d v="2021-10-18T00:00:00"/>
    <m/>
    <n v="662000"/>
    <n v="0"/>
    <s v="Active"/>
    <n v="4"/>
    <x v="0"/>
  </r>
  <r>
    <x v="312"/>
    <x v="328"/>
    <x v="1"/>
    <x v="7"/>
    <s v="Sr. Manger"/>
    <s v="Marketing"/>
    <x v="1"/>
    <d v="2022-08-18T00:00:00"/>
    <m/>
    <n v="664000"/>
    <n v="0.11"/>
    <s v="Active"/>
    <n v="3"/>
    <x v="1"/>
  </r>
  <r>
    <x v="313"/>
    <x v="329"/>
    <x v="0"/>
    <x v="2"/>
    <s v="Sr. Manger"/>
    <s v="Accounting"/>
    <x v="0"/>
    <d v="2024-05-28T00:00:00"/>
    <m/>
    <n v="666000"/>
    <n v="0"/>
    <s v="Active"/>
    <n v="1"/>
    <x v="0"/>
  </r>
  <r>
    <x v="314"/>
    <x v="330"/>
    <x v="1"/>
    <x v="0"/>
    <s v="Quality Eng"/>
    <s v="Engineering"/>
    <x v="3"/>
    <d v="2022-09-07T00:00:00"/>
    <m/>
    <n v="668000"/>
    <n v="0"/>
    <s v="Active"/>
    <n v="3"/>
    <x v="0"/>
  </r>
  <r>
    <x v="315"/>
    <x v="331"/>
    <x v="1"/>
    <x v="4"/>
    <s v="Sr. Manger"/>
    <s v="Marketing"/>
    <x v="3"/>
    <d v="2024-01-03T00:00:00"/>
    <m/>
    <n v="670000"/>
    <n v="7.0000000000000007E-2"/>
    <s v="Active"/>
    <n v="2"/>
    <x v="1"/>
  </r>
  <r>
    <x v="153"/>
    <x v="332"/>
    <x v="1"/>
    <x v="11"/>
    <s v="IT Coord"/>
    <s v="IT"/>
    <x v="2"/>
    <d v="2023-05-28T00:00:00"/>
    <m/>
    <n v="672000"/>
    <n v="0.36"/>
    <s v="Active"/>
    <n v="2"/>
    <x v="0"/>
  </r>
  <r>
    <x v="316"/>
    <x v="333"/>
    <x v="0"/>
    <x v="8"/>
    <s v="Quality Eng"/>
    <s v="Engineering"/>
    <x v="1"/>
    <d v="2023-11-15T00:00:00"/>
    <m/>
    <n v="674000"/>
    <n v="0"/>
    <s v="Active"/>
    <n v="2"/>
    <x v="0"/>
  </r>
  <r>
    <x v="317"/>
    <x v="334"/>
    <x v="0"/>
    <x v="12"/>
    <s v="Quality Eng"/>
    <s v="Engineering"/>
    <x v="2"/>
    <d v="2020-01-21T00:00:00"/>
    <m/>
    <n v="676000"/>
    <n v="0.32"/>
    <s v="Active"/>
    <n v="6"/>
    <x v="2"/>
  </r>
  <r>
    <x v="318"/>
    <x v="335"/>
    <x v="0"/>
    <x v="13"/>
    <s v="Ops Eng"/>
    <s v="Engineering"/>
    <x v="0"/>
    <d v="2023-10-07T00:00:00"/>
    <m/>
    <n v="678000"/>
    <n v="0"/>
    <s v="Active"/>
    <n v="2"/>
    <x v="1"/>
  </r>
  <r>
    <x v="319"/>
    <x v="336"/>
    <x v="0"/>
    <x v="10"/>
    <s v="IT Coord"/>
    <s v="IT"/>
    <x v="1"/>
    <d v="2024-04-19T00:00:00"/>
    <m/>
    <n v="680000"/>
    <n v="0.2"/>
    <s v="Active"/>
    <n v="1"/>
    <x v="2"/>
  </r>
  <r>
    <x v="320"/>
    <x v="337"/>
    <x v="1"/>
    <x v="13"/>
    <s v="Ops Eng"/>
    <s v="Engineering"/>
    <x v="2"/>
    <d v="2020-09-09T00:00:00"/>
    <m/>
    <n v="682000"/>
    <n v="0.05"/>
    <s v="Active"/>
    <n v="5"/>
    <x v="1"/>
  </r>
  <r>
    <x v="321"/>
    <x v="338"/>
    <x v="0"/>
    <x v="14"/>
    <s v="Ops Eng"/>
    <s v="Engineering"/>
    <x v="3"/>
    <d v="2023-11-03T00:00:00"/>
    <m/>
    <n v="684000"/>
    <n v="0.22"/>
    <s v="Active"/>
    <n v="2"/>
    <x v="2"/>
  </r>
  <r>
    <x v="322"/>
    <x v="339"/>
    <x v="0"/>
    <x v="12"/>
    <s v="IT Coord"/>
    <s v="IT"/>
    <x v="3"/>
    <d v="2024-04-30T00:00:00"/>
    <m/>
    <n v="686000"/>
    <n v="0"/>
    <s v="Active"/>
    <n v="1"/>
    <x v="2"/>
  </r>
  <r>
    <x v="323"/>
    <x v="340"/>
    <x v="0"/>
    <x v="14"/>
    <s v="Auto Eng"/>
    <s v="Engineering"/>
    <x v="3"/>
    <d v="2020-02-26T00:00:00"/>
    <m/>
    <n v="688000"/>
    <n v="0"/>
    <s v="Active"/>
    <n v="5"/>
    <x v="2"/>
  </r>
  <r>
    <x v="324"/>
    <x v="341"/>
    <x v="0"/>
    <x v="3"/>
    <s v=" Dev Eng"/>
    <s v="Engineering"/>
    <x v="3"/>
    <d v="2022-09-11T00:00:00"/>
    <m/>
    <n v="690000"/>
    <n v="0"/>
    <s v="Active"/>
    <n v="3"/>
    <x v="1"/>
  </r>
  <r>
    <x v="325"/>
    <x v="342"/>
    <x v="0"/>
    <x v="1"/>
    <s v="Sr. Analyst"/>
    <s v="Finance"/>
    <x v="3"/>
    <d v="2024-05-18T00:00:00"/>
    <m/>
    <n v="692000"/>
    <n v="0.12"/>
    <s v="Active"/>
    <n v="1"/>
    <x v="1"/>
  </r>
  <r>
    <x v="326"/>
    <x v="343"/>
    <x v="1"/>
    <x v="8"/>
    <s v="Quality Eng"/>
    <s v="Engineering"/>
    <x v="0"/>
    <d v="2021-11-09T00:00:00"/>
    <m/>
    <n v="694000"/>
    <n v="0"/>
    <s v="Active"/>
    <n v="4"/>
    <x v="0"/>
  </r>
  <r>
    <x v="327"/>
    <x v="344"/>
    <x v="0"/>
    <x v="15"/>
    <s v="Ops Eng"/>
    <s v="Engineering"/>
    <x v="1"/>
    <d v="2020-05-12T00:00:00"/>
    <m/>
    <n v="696000"/>
    <n v="0"/>
    <s v="Active"/>
    <n v="5"/>
    <x v="1"/>
  </r>
  <r>
    <x v="328"/>
    <x v="345"/>
    <x v="1"/>
    <x v="4"/>
    <s v="Field Eng"/>
    <s v="Engineering"/>
    <x v="3"/>
    <d v="2022-09-11T00:00:00"/>
    <m/>
    <n v="698000"/>
    <n v="0.1"/>
    <s v="Active"/>
    <n v="3"/>
    <x v="1"/>
  </r>
  <r>
    <x v="329"/>
    <x v="346"/>
    <x v="1"/>
    <x v="8"/>
    <s v="Sr. Analyst"/>
    <s v="Accounting"/>
    <x v="2"/>
    <d v="2022-10-23T00:00:00"/>
    <m/>
    <n v="700000"/>
    <n v="0.32"/>
    <s v="Active"/>
    <n v="3"/>
    <x v="0"/>
  </r>
  <r>
    <x v="330"/>
    <x v="347"/>
    <x v="0"/>
    <x v="17"/>
    <s v="Net Admin"/>
    <s v="IT"/>
    <x v="3"/>
    <d v="2024-08-23T00:00:00"/>
    <m/>
    <n v="702000"/>
    <n v="0.28999999999999998"/>
    <s v="Active"/>
    <n v="1"/>
    <x v="3"/>
  </r>
  <r>
    <x v="331"/>
    <x v="348"/>
    <x v="0"/>
    <x v="18"/>
    <s v="Sr. Analyst"/>
    <s v="Marketing"/>
    <x v="1"/>
    <d v="2023-11-07T00:00:00"/>
    <m/>
    <n v="704000"/>
    <n v="0"/>
    <s v="Active"/>
    <n v="2"/>
    <x v="3"/>
  </r>
  <r>
    <x v="332"/>
    <x v="349"/>
    <x v="0"/>
    <x v="19"/>
    <s v=" Dev Eng"/>
    <s v="Engineering"/>
    <x v="2"/>
    <d v="2020-01-07T00:00:00"/>
    <d v="2024-02-10T00:00:00"/>
    <n v="706000"/>
    <n v="0"/>
    <s v="Inactive"/>
    <n v="4"/>
    <x v="3"/>
  </r>
  <r>
    <x v="333"/>
    <x v="350"/>
    <x v="1"/>
    <x v="0"/>
    <s v="Net Admin"/>
    <s v="IT"/>
    <x v="2"/>
    <d v="2022-04-26T00:00:00"/>
    <m/>
    <n v="708000"/>
    <n v="0.09"/>
    <s v="Active"/>
    <n v="3"/>
    <x v="0"/>
  </r>
  <r>
    <x v="334"/>
    <x v="351"/>
    <x v="1"/>
    <x v="1"/>
    <s v="Field Eng"/>
    <s v="Engineering"/>
    <x v="0"/>
    <d v="2020-02-28T00:00:00"/>
    <m/>
    <n v="710000"/>
    <n v="0"/>
    <s v="Active"/>
    <n v="5"/>
    <x v="1"/>
  </r>
  <r>
    <x v="335"/>
    <x v="352"/>
    <x v="0"/>
    <x v="2"/>
    <s v="Auto Eng"/>
    <s v="Engineering"/>
    <x v="0"/>
    <d v="2020-10-12T00:00:00"/>
    <m/>
    <n v="712000"/>
    <n v="0.13"/>
    <s v="Active"/>
    <n v="5"/>
    <x v="0"/>
  </r>
  <r>
    <x v="336"/>
    <x v="353"/>
    <x v="0"/>
    <x v="3"/>
    <s v=" Dev Eng"/>
    <s v="Engineering"/>
    <x v="1"/>
    <d v="2022-01-27T00:00:00"/>
    <m/>
    <n v="714000"/>
    <n v="0"/>
    <s v="Active"/>
    <n v="4"/>
    <x v="1"/>
  </r>
  <r>
    <x v="337"/>
    <x v="354"/>
    <x v="0"/>
    <x v="3"/>
    <s v="Sr. Acc Rep"/>
    <s v="Sales"/>
    <x v="0"/>
    <d v="2024-02-15T00:00:00"/>
    <m/>
    <n v="716000"/>
    <n v="0"/>
    <s v="Active"/>
    <n v="1"/>
    <x v="1"/>
  </r>
  <r>
    <x v="338"/>
    <x v="355"/>
    <x v="0"/>
    <x v="4"/>
    <s v="Field Eng"/>
    <s v="Engineering"/>
    <x v="1"/>
    <d v="2024-02-10T00:00:00"/>
    <m/>
    <n v="718000"/>
    <n v="0.19"/>
    <s v="Active"/>
    <n v="2"/>
    <x v="1"/>
  </r>
  <r>
    <x v="339"/>
    <x v="356"/>
    <x v="0"/>
    <x v="5"/>
    <s v="Sr. Acc Rep"/>
    <s v="Sales"/>
    <x v="2"/>
    <d v="2020-12-18T00:00:00"/>
    <m/>
    <n v="720000"/>
    <n v="7.0000000000000007E-2"/>
    <s v="Active"/>
    <n v="5"/>
    <x v="2"/>
  </r>
  <r>
    <x v="340"/>
    <x v="357"/>
    <x v="0"/>
    <x v="6"/>
    <s v="Auto Eng"/>
    <s v="Engineering"/>
    <x v="1"/>
    <d v="2020-01-07T00:00:00"/>
    <m/>
    <n v="722000"/>
    <n v="7.0000000000000007E-2"/>
    <s v="Active"/>
    <n v="6"/>
    <x v="1"/>
  </r>
  <r>
    <x v="341"/>
    <x v="358"/>
    <x v="0"/>
    <x v="7"/>
    <s v="Auto Eng"/>
    <s v="Engineering"/>
    <x v="2"/>
    <d v="2023-10-07T00:00:00"/>
    <m/>
    <n v="724000"/>
    <n v="0.1"/>
    <s v="Active"/>
    <n v="2"/>
    <x v="1"/>
  </r>
  <r>
    <x v="342"/>
    <x v="359"/>
    <x v="1"/>
    <x v="8"/>
    <s v="Sr. Manger"/>
    <s v="Finance"/>
    <x v="2"/>
    <d v="2021-10-18T00:00:00"/>
    <m/>
    <n v="726000"/>
    <n v="0.1"/>
    <s v="Active"/>
    <n v="4"/>
    <x v="0"/>
  </r>
  <r>
    <x v="343"/>
    <x v="360"/>
    <x v="0"/>
    <x v="9"/>
    <s v="Sr. Manger"/>
    <s v="Marketing"/>
    <x v="1"/>
    <d v="2022-08-18T00:00:00"/>
    <m/>
    <n v="728000"/>
    <n v="0"/>
    <s v="Active"/>
    <n v="3"/>
    <x v="3"/>
  </r>
  <r>
    <x v="344"/>
    <x v="361"/>
    <x v="1"/>
    <x v="1"/>
    <s v="Sr. Manger"/>
    <s v="Accounting"/>
    <x v="0"/>
    <d v="2024-05-28T00:00:00"/>
    <m/>
    <n v="730000"/>
    <n v="0"/>
    <s v="Active"/>
    <n v="1"/>
    <x v="1"/>
  </r>
  <r>
    <x v="345"/>
    <x v="362"/>
    <x v="0"/>
    <x v="8"/>
    <s v="Quality Eng"/>
    <s v="Engineering"/>
    <x v="3"/>
    <d v="2022-09-07T00:00:00"/>
    <m/>
    <n v="732000"/>
    <n v="0.25"/>
    <s v="Active"/>
    <n v="3"/>
    <x v="0"/>
  </r>
  <r>
    <x v="249"/>
    <x v="363"/>
    <x v="0"/>
    <x v="10"/>
    <s v="Sr. Manger"/>
    <s v="Marketing"/>
    <x v="3"/>
    <d v="2024-01-03T00:00:00"/>
    <m/>
    <n v="734000"/>
    <n v="0.13"/>
    <s v="Active"/>
    <n v="2"/>
    <x v="2"/>
  </r>
  <r>
    <x v="346"/>
    <x v="364"/>
    <x v="1"/>
    <x v="2"/>
    <s v="IT Coord"/>
    <s v="IT"/>
    <x v="2"/>
    <d v="2023-05-28T00:00:00"/>
    <m/>
    <n v="736000"/>
    <n v="0"/>
    <s v="Active"/>
    <n v="2"/>
    <x v="0"/>
  </r>
  <r>
    <x v="347"/>
    <x v="365"/>
    <x v="1"/>
    <x v="0"/>
    <s v="Quality Eng"/>
    <s v="Engineering"/>
    <x v="1"/>
    <d v="2023-11-15T00:00:00"/>
    <m/>
    <n v="738000"/>
    <n v="0.12"/>
    <s v="Active"/>
    <n v="2"/>
    <x v="0"/>
  </r>
  <r>
    <x v="348"/>
    <x v="366"/>
    <x v="0"/>
    <x v="4"/>
    <s v="Quality Eng"/>
    <s v="Engineering"/>
    <x v="2"/>
    <d v="2020-01-21T00:00:00"/>
    <m/>
    <n v="740000"/>
    <n v="0"/>
    <s v="Active"/>
    <n v="6"/>
    <x v="1"/>
  </r>
  <r>
    <x v="349"/>
    <x v="367"/>
    <x v="1"/>
    <x v="11"/>
    <s v="Ops Eng"/>
    <s v="Engineering"/>
    <x v="0"/>
    <d v="2023-10-07T00:00:00"/>
    <m/>
    <n v="742000"/>
    <n v="0"/>
    <s v="Active"/>
    <n v="2"/>
    <x v="0"/>
  </r>
  <r>
    <x v="350"/>
    <x v="368"/>
    <x v="0"/>
    <x v="8"/>
    <s v="IT Coord"/>
    <s v="IT"/>
    <x v="1"/>
    <d v="2024-04-19T00:00:00"/>
    <m/>
    <n v="744000"/>
    <n v="0.34"/>
    <s v="Active"/>
    <n v="1"/>
    <x v="0"/>
  </r>
  <r>
    <x v="351"/>
    <x v="369"/>
    <x v="0"/>
    <x v="12"/>
    <s v="Ops Eng"/>
    <s v="Engineering"/>
    <x v="2"/>
    <d v="2020-09-09T00:00:00"/>
    <m/>
    <n v="746000"/>
    <n v="0.21"/>
    <s v="Active"/>
    <n v="5"/>
    <x v="2"/>
  </r>
  <r>
    <x v="352"/>
    <x v="370"/>
    <x v="1"/>
    <x v="13"/>
    <s v="Ops Eng"/>
    <s v="Engineering"/>
    <x v="3"/>
    <d v="2023-11-03T00:00:00"/>
    <m/>
    <n v="748000"/>
    <n v="0"/>
    <s v="Active"/>
    <n v="2"/>
    <x v="1"/>
  </r>
  <r>
    <x v="133"/>
    <x v="371"/>
    <x v="0"/>
    <x v="10"/>
    <s v="IT Coord"/>
    <s v="IT"/>
    <x v="3"/>
    <d v="2024-04-30T00:00:00"/>
    <m/>
    <n v="750000"/>
    <n v="0.11"/>
    <s v="Active"/>
    <n v="1"/>
    <x v="2"/>
  </r>
  <r>
    <x v="353"/>
    <x v="372"/>
    <x v="1"/>
    <x v="13"/>
    <s v="Auto Eng"/>
    <s v="Engineering"/>
    <x v="3"/>
    <d v="2020-02-26T00:00:00"/>
    <m/>
    <n v="752000"/>
    <n v="0"/>
    <s v="Active"/>
    <n v="5"/>
    <x v="1"/>
  </r>
  <r>
    <x v="354"/>
    <x v="373"/>
    <x v="0"/>
    <x v="14"/>
    <s v=" Dev Eng"/>
    <s v="Engineering"/>
    <x v="3"/>
    <d v="2022-09-11T00:00:00"/>
    <d v="2023-11-07T00:00:00"/>
    <n v="754000"/>
    <n v="0.13"/>
    <s v="Inactive"/>
    <n v="1"/>
    <x v="2"/>
  </r>
  <r>
    <x v="355"/>
    <x v="374"/>
    <x v="0"/>
    <x v="7"/>
    <s v="Sr. Analyst"/>
    <s v="Finance"/>
    <x v="3"/>
    <d v="2024-05-18T00:00:00"/>
    <m/>
    <n v="756000"/>
    <n v="0.21"/>
    <s v="Active"/>
    <n v="1"/>
    <x v="1"/>
  </r>
  <r>
    <x v="356"/>
    <x v="375"/>
    <x v="0"/>
    <x v="7"/>
    <s v="Quality Eng"/>
    <s v="Engineering"/>
    <x v="0"/>
    <d v="2021-11-09T00:00:00"/>
    <m/>
    <n v="758000"/>
    <n v="0"/>
    <s v="Active"/>
    <n v="4"/>
    <x v="1"/>
  </r>
  <r>
    <x v="357"/>
    <x v="376"/>
    <x v="0"/>
    <x v="7"/>
    <s v="Ops Eng"/>
    <s v="Engineering"/>
    <x v="1"/>
    <d v="2020-05-12T00:00:00"/>
    <m/>
    <n v="760000"/>
    <n v="0"/>
    <s v="Active"/>
    <n v="5"/>
    <x v="1"/>
  </r>
  <r>
    <x v="358"/>
    <x v="377"/>
    <x v="0"/>
    <x v="1"/>
    <s v="Field Eng"/>
    <s v="Engineering"/>
    <x v="3"/>
    <d v="2022-09-11T00:00:00"/>
    <m/>
    <n v="762000"/>
    <n v="0"/>
    <s v="Active"/>
    <n v="3"/>
    <x v="1"/>
  </r>
  <r>
    <x v="359"/>
    <x v="378"/>
    <x v="1"/>
    <x v="8"/>
    <s v="Sr. Analyst"/>
    <s v="Accounting"/>
    <x v="2"/>
    <d v="2022-10-23T00:00:00"/>
    <m/>
    <n v="764000"/>
    <n v="0"/>
    <s v="Active"/>
    <n v="3"/>
    <x v="0"/>
  </r>
  <r>
    <x v="360"/>
    <x v="379"/>
    <x v="1"/>
    <x v="15"/>
    <s v="Net Admin"/>
    <s v="IT"/>
    <x v="3"/>
    <d v="2024-08-23T00:00:00"/>
    <m/>
    <n v="766000"/>
    <n v="0"/>
    <s v="Active"/>
    <n v="1"/>
    <x v="1"/>
  </r>
  <r>
    <x v="361"/>
    <x v="380"/>
    <x v="0"/>
    <x v="4"/>
    <s v="Sr. Analyst"/>
    <s v="Marketing"/>
    <x v="1"/>
    <d v="2023-11-07T00:00:00"/>
    <m/>
    <n v="768000"/>
    <n v="0"/>
    <s v="Active"/>
    <n v="2"/>
    <x v="1"/>
  </r>
  <r>
    <x v="362"/>
    <x v="381"/>
    <x v="1"/>
    <x v="8"/>
    <s v=" Dev Eng"/>
    <s v="Engineering"/>
    <x v="2"/>
    <d v="2023-10-07T00:00:00"/>
    <m/>
    <n v="770000"/>
    <n v="0"/>
    <s v="Active"/>
    <n v="2"/>
    <x v="0"/>
  </r>
  <r>
    <x v="363"/>
    <x v="382"/>
    <x v="0"/>
    <x v="17"/>
    <s v="Net Admin"/>
    <s v="IT"/>
    <x v="2"/>
    <d v="2022-04-26T00:00:00"/>
    <m/>
    <n v="772000"/>
    <n v="0"/>
    <s v="Active"/>
    <n v="3"/>
    <x v="3"/>
  </r>
  <r>
    <x v="364"/>
    <x v="383"/>
    <x v="0"/>
    <x v="18"/>
    <s v="Field Eng"/>
    <s v="Engineering"/>
    <x v="0"/>
    <d v="2020-02-28T00:00:00"/>
    <m/>
    <n v="774000"/>
    <n v="0"/>
    <s v="Active"/>
    <n v="5"/>
    <x v="3"/>
  </r>
  <r>
    <x v="365"/>
    <x v="384"/>
    <x v="0"/>
    <x v="19"/>
    <s v="Auto Eng"/>
    <s v="Engineering"/>
    <x v="0"/>
    <d v="2020-10-12T00:00:00"/>
    <d v="2024-05-28T00:00:00"/>
    <n v="776000"/>
    <n v="0.4"/>
    <s v="Inactive"/>
    <n v="3"/>
    <x v="3"/>
  </r>
  <r>
    <x v="7"/>
    <x v="385"/>
    <x v="0"/>
    <x v="0"/>
    <s v=" Dev Eng"/>
    <s v="Engineering"/>
    <x v="1"/>
    <d v="2022-01-27T00:00:00"/>
    <m/>
    <n v="778000"/>
    <n v="0"/>
    <s v="Active"/>
    <n v="4"/>
    <x v="0"/>
  </r>
  <r>
    <x v="366"/>
    <x v="386"/>
    <x v="1"/>
    <x v="1"/>
    <s v="Sr. Acc Rep"/>
    <s v="Sales"/>
    <x v="0"/>
    <d v="2024-02-15T00:00:00"/>
    <m/>
    <n v="780000"/>
    <n v="0.34"/>
    <s v="Active"/>
    <n v="1"/>
    <x v="1"/>
  </r>
  <r>
    <x v="367"/>
    <x v="387"/>
    <x v="0"/>
    <x v="2"/>
    <s v="Field Eng"/>
    <s v="Engineering"/>
    <x v="1"/>
    <d v="2022-02-10T00:00:00"/>
    <d v="2024-05-28T00:00:00"/>
    <n v="782000"/>
    <n v="0"/>
    <s v="Inactive"/>
    <n v="2"/>
    <x v="0"/>
  </r>
  <r>
    <x v="368"/>
    <x v="388"/>
    <x v="0"/>
    <x v="7"/>
    <s v="Sr. Acc Rep"/>
    <s v="Sales"/>
    <x v="2"/>
    <d v="2020-12-18T00:00:00"/>
    <m/>
    <n v="784000"/>
    <n v="0"/>
    <s v="Active"/>
    <n v="5"/>
    <x v="1"/>
  </r>
  <r>
    <x v="7"/>
    <x v="389"/>
    <x v="0"/>
    <x v="7"/>
    <s v="Auto Eng"/>
    <s v="Engineering"/>
    <x v="1"/>
    <d v="2020-01-07T00:00:00"/>
    <m/>
    <n v="786000"/>
    <n v="0.11"/>
    <s v="Active"/>
    <n v="6"/>
    <x v="1"/>
  </r>
  <r>
    <x v="8"/>
    <x v="390"/>
    <x v="0"/>
    <x v="4"/>
    <s v="Auto Eng"/>
    <s v="Engineering"/>
    <x v="2"/>
    <d v="2023-10-07T00:00:00"/>
    <m/>
    <n v="788000"/>
    <n v="0.12"/>
    <s v="Active"/>
    <n v="2"/>
    <x v="1"/>
  </r>
  <r>
    <x v="369"/>
    <x v="391"/>
    <x v="0"/>
    <x v="7"/>
    <s v="Sr. Manger"/>
    <s v="Finance"/>
    <x v="2"/>
    <d v="2021-10-18T00:00:00"/>
    <m/>
    <n v="790000"/>
    <n v="0.23"/>
    <s v="Active"/>
    <n v="4"/>
    <x v="1"/>
  </r>
  <r>
    <x v="224"/>
    <x v="392"/>
    <x v="0"/>
    <x v="6"/>
    <s v="Sr. Manger"/>
    <s v="Marketing"/>
    <x v="1"/>
    <d v="2022-08-18T00:00:00"/>
    <m/>
    <n v="792000"/>
    <n v="0"/>
    <s v="Active"/>
    <n v="3"/>
    <x v="1"/>
  </r>
  <r>
    <x v="370"/>
    <x v="393"/>
    <x v="1"/>
    <x v="7"/>
    <s v="Sr. Manger"/>
    <s v="Accounting"/>
    <x v="0"/>
    <d v="2024-05-28T00:00:00"/>
    <m/>
    <n v="794000"/>
    <n v="0.06"/>
    <s v="Active"/>
    <n v="1"/>
    <x v="1"/>
  </r>
  <r>
    <x v="371"/>
    <x v="394"/>
    <x v="0"/>
    <x v="8"/>
    <s v="Quality Eng"/>
    <s v="Engineering"/>
    <x v="3"/>
    <d v="2022-09-07T00:00:00"/>
    <m/>
    <n v="796000"/>
    <n v="0"/>
    <s v="Active"/>
    <n v="3"/>
    <x v="0"/>
  </r>
  <r>
    <x v="372"/>
    <x v="395"/>
    <x v="1"/>
    <x v="9"/>
    <s v="Sr. Manger"/>
    <s v="Marketing"/>
    <x v="3"/>
    <d v="2024-01-03T00:00:00"/>
    <m/>
    <n v="798000"/>
    <n v="0"/>
    <s v="Active"/>
    <n v="2"/>
    <x v="3"/>
  </r>
  <r>
    <x v="373"/>
    <x v="396"/>
    <x v="1"/>
    <x v="1"/>
    <s v="IT Coord"/>
    <s v="IT"/>
    <x v="2"/>
    <d v="2023-05-28T00:00:00"/>
    <m/>
    <n v="800000"/>
    <n v="0.27"/>
    <s v="Active"/>
    <n v="2"/>
    <x v="1"/>
  </r>
  <r>
    <x v="374"/>
    <x v="397"/>
    <x v="1"/>
    <x v="8"/>
    <s v="Quality Eng"/>
    <s v="Engineering"/>
    <x v="1"/>
    <d v="2023-11-15T00:00:00"/>
    <m/>
    <n v="802000"/>
    <n v="0"/>
    <s v="Active"/>
    <n v="2"/>
    <x v="0"/>
  </r>
  <r>
    <x v="9"/>
    <x v="398"/>
    <x v="0"/>
    <x v="7"/>
    <s v="Quality Eng"/>
    <s v="Engineering"/>
    <x v="2"/>
    <d v="2020-01-21T00:00:00"/>
    <m/>
    <n v="804000"/>
    <n v="0.12"/>
    <s v="Active"/>
    <n v="6"/>
    <x v="1"/>
  </r>
  <r>
    <x v="375"/>
    <x v="399"/>
    <x v="1"/>
    <x v="2"/>
    <s v="Ops Eng"/>
    <s v="Engineering"/>
    <x v="0"/>
    <d v="2023-10-07T00:00:00"/>
    <m/>
    <n v="806000"/>
    <n v="0.15"/>
    <s v="Active"/>
    <n v="2"/>
    <x v="0"/>
  </r>
  <r>
    <x v="376"/>
    <x v="400"/>
    <x v="0"/>
    <x v="0"/>
    <s v="IT Coord"/>
    <s v="IT"/>
    <x v="1"/>
    <d v="2024-04-19T00:00:00"/>
    <m/>
    <n v="808000"/>
    <n v="0.08"/>
    <s v="Active"/>
    <n v="1"/>
    <x v="0"/>
  </r>
  <r>
    <x v="377"/>
    <x v="401"/>
    <x v="1"/>
    <x v="4"/>
    <s v="Ops Eng"/>
    <s v="Engineering"/>
    <x v="2"/>
    <d v="2020-09-09T00:00:00"/>
    <m/>
    <n v="810000"/>
    <n v="0"/>
    <s v="Active"/>
    <n v="5"/>
    <x v="1"/>
  </r>
  <r>
    <x v="378"/>
    <x v="402"/>
    <x v="1"/>
    <x v="11"/>
    <s v="Ops Eng"/>
    <s v="Engineering"/>
    <x v="3"/>
    <d v="2023-11-03T00:00:00"/>
    <m/>
    <n v="812000"/>
    <n v="0"/>
    <s v="Active"/>
    <n v="2"/>
    <x v="0"/>
  </r>
  <r>
    <x v="379"/>
    <x v="403"/>
    <x v="1"/>
    <x v="8"/>
    <s v="IT Coord"/>
    <s v="IT"/>
    <x v="3"/>
    <d v="2022-04-30T00:00:00"/>
    <d v="2023-11-07T00:00:00"/>
    <n v="814000"/>
    <n v="0.12"/>
    <s v="Inactive"/>
    <n v="1"/>
    <x v="0"/>
  </r>
  <r>
    <x v="380"/>
    <x v="404"/>
    <x v="0"/>
    <x v="7"/>
    <s v="Auto Eng"/>
    <s v="Engineering"/>
    <x v="3"/>
    <d v="2020-02-26T00:00:00"/>
    <m/>
    <n v="816000"/>
    <n v="0.14000000000000001"/>
    <s v="Active"/>
    <n v="5"/>
    <x v="1"/>
  </r>
  <r>
    <x v="381"/>
    <x v="405"/>
    <x v="1"/>
    <x v="13"/>
    <s v=" Dev Eng"/>
    <s v="Engineering"/>
    <x v="3"/>
    <d v="2022-09-11T00:00:00"/>
    <m/>
    <n v="818000"/>
    <n v="0"/>
    <s v="Active"/>
    <n v="3"/>
    <x v="1"/>
  </r>
  <r>
    <x v="382"/>
    <x v="406"/>
    <x v="0"/>
    <x v="7"/>
    <s v="Sr. Analyst"/>
    <s v="Finance"/>
    <x v="3"/>
    <d v="2024-05-18T00:00:00"/>
    <m/>
    <n v="820000"/>
    <n v="0"/>
    <s v="Active"/>
    <n v="1"/>
    <x v="1"/>
  </r>
  <r>
    <x v="383"/>
    <x v="407"/>
    <x v="0"/>
    <x v="13"/>
    <s v="Quality Eng"/>
    <s v="Engineering"/>
    <x v="0"/>
    <d v="2021-11-09T00:00:00"/>
    <m/>
    <n v="822000"/>
    <n v="0"/>
    <s v="Active"/>
    <n v="4"/>
    <x v="1"/>
  </r>
  <r>
    <x v="384"/>
    <x v="408"/>
    <x v="0"/>
    <x v="7"/>
    <s v="Ops Eng"/>
    <s v="Engineering"/>
    <x v="1"/>
    <d v="2020-05-12T00:00:00"/>
    <m/>
    <n v="824000"/>
    <n v="0"/>
    <s v="Active"/>
    <n v="5"/>
    <x v="1"/>
  </r>
  <r>
    <x v="385"/>
    <x v="409"/>
    <x v="0"/>
    <x v="7"/>
    <s v="Field Eng"/>
    <s v="Engineering"/>
    <x v="3"/>
    <d v="2022-09-11T00:00:00"/>
    <m/>
    <n v="826000"/>
    <n v="0.23"/>
    <s v="Active"/>
    <n v="3"/>
    <x v="1"/>
  </r>
  <r>
    <x v="386"/>
    <x v="410"/>
    <x v="0"/>
    <x v="7"/>
    <s v="Sr. Analyst"/>
    <s v="Accounting"/>
    <x v="2"/>
    <d v="2022-10-23T00:00:00"/>
    <m/>
    <n v="828000"/>
    <n v="0.36"/>
    <s v="Active"/>
    <n v="3"/>
    <x v="1"/>
  </r>
  <r>
    <x v="387"/>
    <x v="411"/>
    <x v="0"/>
    <x v="7"/>
    <s v="Net Admin"/>
    <s v="IT"/>
    <x v="3"/>
    <d v="2024-08-23T00:00:00"/>
    <m/>
    <n v="830000"/>
    <n v="0"/>
    <s v="Active"/>
    <n v="1"/>
    <x v="1"/>
  </r>
  <r>
    <x v="388"/>
    <x v="412"/>
    <x v="0"/>
    <x v="1"/>
    <s v="Sr. Analyst"/>
    <s v="Marketing"/>
    <x v="1"/>
    <d v="2023-11-07T00:00:00"/>
    <m/>
    <n v="832000"/>
    <n v="0"/>
    <s v="Active"/>
    <n v="2"/>
    <x v="1"/>
  </r>
  <r>
    <x v="389"/>
    <x v="413"/>
    <x v="1"/>
    <x v="8"/>
    <s v=" Dev Eng"/>
    <s v="Engineering"/>
    <x v="2"/>
    <d v="2023-10-07T00:00:00"/>
    <m/>
    <n v="834000"/>
    <n v="0.09"/>
    <s v="Active"/>
    <n v="2"/>
    <x v="0"/>
  </r>
  <r>
    <x v="390"/>
    <x v="414"/>
    <x v="1"/>
    <x v="15"/>
    <s v="Net Admin"/>
    <s v="IT"/>
    <x v="2"/>
    <d v="2022-04-26T00:00:00"/>
    <m/>
    <n v="836000"/>
    <n v="0.09"/>
    <s v="Active"/>
    <n v="3"/>
    <x v="1"/>
  </r>
  <r>
    <x v="391"/>
    <x v="415"/>
    <x v="1"/>
    <x v="4"/>
    <s v="Field Eng"/>
    <s v="Engineering"/>
    <x v="0"/>
    <d v="2020-02-28T00:00:00"/>
    <m/>
    <n v="838000"/>
    <n v="0"/>
    <s v="Active"/>
    <n v="5"/>
    <x v="1"/>
  </r>
  <r>
    <x v="392"/>
    <x v="416"/>
    <x v="1"/>
    <x v="8"/>
    <s v="Auto Eng"/>
    <s v="Engineering"/>
    <x v="0"/>
    <d v="2020-10-12T00:00:00"/>
    <m/>
    <n v="840000"/>
    <n v="0"/>
    <s v="Active"/>
    <n v="5"/>
    <x v="0"/>
  </r>
  <r>
    <x v="393"/>
    <x v="417"/>
    <x v="0"/>
    <x v="17"/>
    <s v=" Dev Eng"/>
    <s v="Engineering"/>
    <x v="1"/>
    <d v="2022-01-27T00:00:00"/>
    <m/>
    <n v="842000"/>
    <n v="0.36"/>
    <s v="Active"/>
    <n v="4"/>
    <x v="3"/>
  </r>
  <r>
    <x v="394"/>
    <x v="418"/>
    <x v="0"/>
    <x v="18"/>
    <s v="Sr. Acc Rep"/>
    <s v="Sales"/>
    <x v="0"/>
    <d v="2024-02-15T00:00:00"/>
    <m/>
    <n v="844000"/>
    <n v="0"/>
    <s v="Active"/>
    <n v="1"/>
    <x v="3"/>
  </r>
  <r>
    <x v="395"/>
    <x v="419"/>
    <x v="0"/>
    <x v="19"/>
    <s v="Field Eng"/>
    <s v="Engineering"/>
    <x v="1"/>
    <d v="2024-02-10T00:00:00"/>
    <m/>
    <n v="846000"/>
    <n v="0"/>
    <s v="Active"/>
    <n v="2"/>
    <x v="3"/>
  </r>
  <r>
    <x v="396"/>
    <x v="420"/>
    <x v="0"/>
    <x v="0"/>
    <s v="Sr. Acc Rep"/>
    <s v="Sales"/>
    <x v="2"/>
    <d v="2020-12-18T00:00:00"/>
    <m/>
    <n v="848000"/>
    <n v="0"/>
    <s v="Active"/>
    <n v="5"/>
    <x v="0"/>
  </r>
  <r>
    <x v="397"/>
    <x v="421"/>
    <x v="0"/>
    <x v="1"/>
    <s v="Auto Eng"/>
    <s v="Engineering"/>
    <x v="1"/>
    <d v="2020-01-07T00:00:00"/>
    <m/>
    <n v="850000"/>
    <n v="0"/>
    <s v="Active"/>
    <n v="6"/>
    <x v="1"/>
  </r>
  <r>
    <x v="398"/>
    <x v="422"/>
    <x v="0"/>
    <x v="2"/>
    <s v="Auto Eng"/>
    <s v="Engineering"/>
    <x v="2"/>
    <d v="2023-10-07T00:00:00"/>
    <m/>
    <n v="852000"/>
    <n v="0.38"/>
    <s v="Active"/>
    <n v="2"/>
    <x v="0"/>
  </r>
  <r>
    <x v="399"/>
    <x v="423"/>
    <x v="0"/>
    <x v="7"/>
    <s v="Sr. Manger"/>
    <s v="Finance"/>
    <x v="2"/>
    <d v="2021-10-18T00:00:00"/>
    <m/>
    <n v="854000"/>
    <n v="0.15"/>
    <s v="Active"/>
    <n v="4"/>
    <x v="1"/>
  </r>
  <r>
    <x v="400"/>
    <x v="424"/>
    <x v="0"/>
    <x v="7"/>
    <s v="Sr. Manger"/>
    <s v="Marketing"/>
    <x v="1"/>
    <d v="2022-08-18T00:00:00"/>
    <m/>
    <n v="856000"/>
    <n v="0.1"/>
    <s v="Active"/>
    <n v="3"/>
    <x v="1"/>
  </r>
  <r>
    <x v="401"/>
    <x v="425"/>
    <x v="0"/>
    <x v="4"/>
    <s v="Sr. Manger"/>
    <s v="Accounting"/>
    <x v="0"/>
    <d v="2024-05-28T00:00:00"/>
    <m/>
    <n v="858000"/>
    <n v="0.15"/>
    <s v="Active"/>
    <n v="1"/>
    <x v="1"/>
  </r>
  <r>
    <x v="285"/>
    <x v="426"/>
    <x v="0"/>
    <x v="5"/>
    <s v="Quality Eng"/>
    <s v="Engineering"/>
    <x v="3"/>
    <d v="2022-09-07T00:00:00"/>
    <d v="2024-04-30T00:00:00"/>
    <n v="860000"/>
    <n v="0.05"/>
    <s v="Inactive"/>
    <n v="1"/>
    <x v="2"/>
  </r>
  <r>
    <x v="402"/>
    <x v="427"/>
    <x v="0"/>
    <x v="6"/>
    <s v="Sr. Manger"/>
    <s v="Marketing"/>
    <x v="3"/>
    <d v="2024-01-03T00:00:00"/>
    <m/>
    <n v="862000"/>
    <n v="0"/>
    <s v="Active"/>
    <n v="2"/>
    <x v="1"/>
  </r>
  <r>
    <x v="403"/>
    <x v="428"/>
    <x v="1"/>
    <x v="7"/>
    <s v="IT Coord"/>
    <s v="IT"/>
    <x v="2"/>
    <d v="2023-05-28T00:00:00"/>
    <m/>
    <n v="864000"/>
    <n v="0.18"/>
    <s v="Active"/>
    <n v="2"/>
    <x v="1"/>
  </r>
  <r>
    <x v="404"/>
    <x v="429"/>
    <x v="1"/>
    <x v="8"/>
    <s v="Quality Eng"/>
    <s v="Engineering"/>
    <x v="1"/>
    <d v="2023-11-15T00:00:00"/>
    <m/>
    <n v="866000"/>
    <n v="0"/>
    <s v="Active"/>
    <n v="2"/>
    <x v="0"/>
  </r>
  <r>
    <x v="405"/>
    <x v="430"/>
    <x v="1"/>
    <x v="9"/>
    <s v="Quality Eng"/>
    <s v="Engineering"/>
    <x v="2"/>
    <d v="2020-01-21T00:00:00"/>
    <m/>
    <n v="868000"/>
    <n v="0"/>
    <s v="Active"/>
    <n v="6"/>
    <x v="3"/>
  </r>
  <r>
    <x v="406"/>
    <x v="431"/>
    <x v="0"/>
    <x v="1"/>
    <s v="Ops Eng"/>
    <s v="Engineering"/>
    <x v="0"/>
    <d v="2023-10-07T00:00:00"/>
    <m/>
    <n v="870000"/>
    <n v="0.24"/>
    <s v="Active"/>
    <n v="2"/>
    <x v="1"/>
  </r>
  <r>
    <x v="407"/>
    <x v="432"/>
    <x v="1"/>
    <x v="8"/>
    <s v="IT Coord"/>
    <s v="IT"/>
    <x v="1"/>
    <d v="2020-04-19T00:00:00"/>
    <d v="2023-05-28T00:00:00"/>
    <n v="872000"/>
    <n v="0"/>
    <s v="Inactive"/>
    <n v="3"/>
    <x v="0"/>
  </r>
  <r>
    <x v="408"/>
    <x v="433"/>
    <x v="0"/>
    <x v="7"/>
    <s v="Ops Eng"/>
    <s v="Engineering"/>
    <x v="2"/>
    <d v="2020-09-09T00:00:00"/>
    <m/>
    <n v="874000"/>
    <n v="0.15"/>
    <s v="Active"/>
    <n v="5"/>
    <x v="1"/>
  </r>
  <r>
    <x v="409"/>
    <x v="434"/>
    <x v="1"/>
    <x v="2"/>
    <s v="Ops Eng"/>
    <s v="Engineering"/>
    <x v="3"/>
    <d v="2023-11-03T00:00:00"/>
    <m/>
    <n v="876000"/>
    <n v="0"/>
    <s v="Active"/>
    <n v="2"/>
    <x v="0"/>
  </r>
  <r>
    <x v="410"/>
    <x v="435"/>
    <x v="1"/>
    <x v="0"/>
    <s v="IT Coord"/>
    <s v="IT"/>
    <x v="3"/>
    <d v="2024-04-30T00:00:00"/>
    <m/>
    <n v="878000"/>
    <n v="0.38"/>
    <s v="Active"/>
    <n v="1"/>
    <x v="0"/>
  </r>
  <r>
    <x v="411"/>
    <x v="436"/>
    <x v="1"/>
    <x v="4"/>
    <s v="Auto Eng"/>
    <s v="Engineering"/>
    <x v="3"/>
    <d v="2020-02-26T00:00:00"/>
    <m/>
    <n v="880000"/>
    <n v="0.3"/>
    <s v="Active"/>
    <n v="5"/>
    <x v="1"/>
  </r>
  <r>
    <x v="412"/>
    <x v="437"/>
    <x v="1"/>
    <x v="11"/>
    <s v=" Dev Eng"/>
    <s v="Engineering"/>
    <x v="3"/>
    <d v="2022-09-11T00:00:00"/>
    <m/>
    <n v="882000"/>
    <n v="0.23"/>
    <s v="Active"/>
    <n v="3"/>
    <x v="0"/>
  </r>
  <r>
    <x v="413"/>
    <x v="438"/>
    <x v="1"/>
    <x v="8"/>
    <s v="Sr. Analyst"/>
    <s v="Finance"/>
    <x v="3"/>
    <d v="2024-05-18T00:00:00"/>
    <m/>
    <n v="884000"/>
    <n v="0"/>
    <s v="Active"/>
    <n v="1"/>
    <x v="0"/>
  </r>
  <r>
    <x v="414"/>
    <x v="439"/>
    <x v="0"/>
    <x v="7"/>
    <s v="Quality Eng"/>
    <s v="Engineering"/>
    <x v="0"/>
    <d v="2021-11-09T00:00:00"/>
    <m/>
    <n v="886000"/>
    <n v="0"/>
    <s v="Active"/>
    <n v="4"/>
    <x v="1"/>
  </r>
  <r>
    <x v="415"/>
    <x v="440"/>
    <x v="0"/>
    <x v="13"/>
    <s v="Ops Eng"/>
    <s v="Engineering"/>
    <x v="1"/>
    <d v="2020-05-12T00:00:00"/>
    <m/>
    <n v="888000"/>
    <n v="0.24"/>
    <s v="Active"/>
    <n v="5"/>
    <x v="1"/>
  </r>
  <r>
    <x v="416"/>
    <x v="441"/>
    <x v="1"/>
    <x v="7"/>
    <s v="Field Eng"/>
    <s v="Engineering"/>
    <x v="3"/>
    <d v="2022-09-11T00:00:00"/>
    <m/>
    <n v="890000"/>
    <n v="0"/>
    <s v="Active"/>
    <n v="3"/>
    <x v="1"/>
  </r>
  <r>
    <x v="417"/>
    <x v="442"/>
    <x v="0"/>
    <x v="13"/>
    <s v="Sr. Analyst"/>
    <s v="Accounting"/>
    <x v="2"/>
    <d v="2022-10-23T00:00:00"/>
    <m/>
    <n v="892000"/>
    <n v="0.08"/>
    <s v="Active"/>
    <n v="3"/>
    <x v="1"/>
  </r>
  <r>
    <x v="10"/>
    <x v="443"/>
    <x v="1"/>
    <x v="7"/>
    <s v="Net Admin"/>
    <s v="IT"/>
    <x v="3"/>
    <d v="2024-08-23T00:00:00"/>
    <m/>
    <n v="894000"/>
    <n v="0"/>
    <s v="Active"/>
    <n v="1"/>
    <x v="1"/>
  </r>
  <r>
    <x v="418"/>
    <x v="444"/>
    <x v="1"/>
    <x v="7"/>
    <s v="Sr. Analyst"/>
    <s v="Marketing"/>
    <x v="1"/>
    <d v="2023-11-07T00:00:00"/>
    <m/>
    <n v="896000"/>
    <n v="0.12"/>
    <s v="Active"/>
    <n v="2"/>
    <x v="1"/>
  </r>
  <r>
    <x v="419"/>
    <x v="445"/>
    <x v="0"/>
    <x v="7"/>
    <s v=" Dev Eng"/>
    <s v="Engineering"/>
    <x v="2"/>
    <d v="2023-10-07T00:00:00"/>
    <m/>
    <n v="898000"/>
    <n v="0"/>
    <s v="Active"/>
    <n v="2"/>
    <x v="1"/>
  </r>
  <r>
    <x v="420"/>
    <x v="446"/>
    <x v="1"/>
    <x v="7"/>
    <s v="Net Admin"/>
    <s v="IT"/>
    <x v="2"/>
    <d v="2022-04-26T00:00:00"/>
    <m/>
    <n v="900000"/>
    <n v="0"/>
    <s v="Active"/>
    <n v="3"/>
    <x v="1"/>
  </r>
  <r>
    <x v="421"/>
    <x v="447"/>
    <x v="1"/>
    <x v="1"/>
    <s v="Field Eng"/>
    <s v="Engineering"/>
    <x v="0"/>
    <d v="2020-02-28T00:00:00"/>
    <m/>
    <n v="902000"/>
    <n v="0"/>
    <s v="Active"/>
    <n v="5"/>
    <x v="1"/>
  </r>
  <r>
    <x v="422"/>
    <x v="448"/>
    <x v="1"/>
    <x v="8"/>
    <s v="Auto Eng"/>
    <s v="Engineering"/>
    <x v="0"/>
    <d v="2020-10-12T00:00:00"/>
    <m/>
    <n v="904000"/>
    <n v="0"/>
    <s v="Active"/>
    <n v="5"/>
    <x v="0"/>
  </r>
  <r>
    <x v="423"/>
    <x v="449"/>
    <x v="1"/>
    <x v="15"/>
    <s v=" Dev Eng"/>
    <s v="Engineering"/>
    <x v="1"/>
    <d v="2022-01-27T00:00:00"/>
    <m/>
    <n v="906000"/>
    <n v="0.26"/>
    <s v="Active"/>
    <n v="4"/>
    <x v="1"/>
  </r>
  <r>
    <x v="424"/>
    <x v="450"/>
    <x v="0"/>
    <x v="4"/>
    <s v="Sr. Acc Rep"/>
    <s v="Sales"/>
    <x v="0"/>
    <d v="2024-02-15T00:00:00"/>
    <m/>
    <n v="908000"/>
    <n v="0"/>
    <s v="Active"/>
    <n v="1"/>
    <x v="1"/>
  </r>
  <r>
    <x v="425"/>
    <x v="451"/>
    <x v="1"/>
    <x v="8"/>
    <s v="Field Eng"/>
    <s v="Engineering"/>
    <x v="1"/>
    <d v="2021-02-10T00:00:00"/>
    <d v="2023-11-15T00:00:00"/>
    <n v="910000"/>
    <n v="0.09"/>
    <s v="Inactive"/>
    <n v="2"/>
    <x v="0"/>
  </r>
  <r>
    <x v="426"/>
    <x v="452"/>
    <x v="0"/>
    <x v="17"/>
    <s v="Sr. Acc Rep"/>
    <s v="Sales"/>
    <x v="2"/>
    <d v="2020-12-18T00:00:00"/>
    <m/>
    <n v="912000"/>
    <n v="0"/>
    <s v="Active"/>
    <n v="5"/>
    <x v="3"/>
  </r>
  <r>
    <x v="427"/>
    <x v="453"/>
    <x v="0"/>
    <x v="18"/>
    <s v="Auto Eng"/>
    <s v="Engineering"/>
    <x v="1"/>
    <d v="2020-01-07T00:00:00"/>
    <m/>
    <n v="914000"/>
    <n v="0"/>
    <s v="Active"/>
    <n v="6"/>
    <x v="3"/>
  </r>
  <r>
    <x v="428"/>
    <x v="454"/>
    <x v="0"/>
    <x v="19"/>
    <s v="Auto Eng"/>
    <s v="Engineering"/>
    <x v="2"/>
    <d v="2023-10-07T00:00:00"/>
    <m/>
    <n v="916000"/>
    <n v="0.31"/>
    <s v="Active"/>
    <n v="2"/>
    <x v="3"/>
  </r>
  <r>
    <x v="429"/>
    <x v="455"/>
    <x v="0"/>
    <x v="0"/>
    <s v="Sr. Manger"/>
    <s v="Finance"/>
    <x v="2"/>
    <d v="2021-10-18T00:00:00"/>
    <m/>
    <n v="918000"/>
    <n v="0"/>
    <s v="Active"/>
    <n v="4"/>
    <x v="0"/>
  </r>
  <r>
    <x v="198"/>
    <x v="456"/>
    <x v="1"/>
    <x v="1"/>
    <s v="Sr. Manger"/>
    <s v="Marketing"/>
    <x v="1"/>
    <d v="2022-08-18T00:00:00"/>
    <m/>
    <n v="920000"/>
    <n v="0.34"/>
    <s v="Active"/>
    <n v="3"/>
    <x v="1"/>
  </r>
  <r>
    <x v="11"/>
    <x v="457"/>
    <x v="0"/>
    <x v="2"/>
    <s v="Sr. Manger"/>
    <s v="Accounting"/>
    <x v="0"/>
    <d v="2024-05-28T00:00:00"/>
    <m/>
    <n v="922000"/>
    <n v="0.15"/>
    <s v="Active"/>
    <n v="1"/>
    <x v="0"/>
  </r>
  <r>
    <x v="430"/>
    <x v="458"/>
    <x v="1"/>
    <x v="7"/>
    <s v="Quality Eng"/>
    <s v="Engineering"/>
    <x v="3"/>
    <d v="2022-09-07T00:00:00"/>
    <m/>
    <n v="924000"/>
    <n v="0"/>
    <s v="Active"/>
    <n v="3"/>
    <x v="1"/>
  </r>
  <r>
    <x v="431"/>
    <x v="459"/>
    <x v="0"/>
    <x v="7"/>
    <s v="Sr. Manger"/>
    <s v="Marketing"/>
    <x v="3"/>
    <d v="2024-01-03T00:00:00"/>
    <m/>
    <n v="926000"/>
    <n v="0"/>
    <s v="Active"/>
    <n v="2"/>
    <x v="1"/>
  </r>
  <r>
    <x v="432"/>
    <x v="460"/>
    <x v="1"/>
    <x v="4"/>
    <s v="IT Coord"/>
    <s v="IT"/>
    <x v="2"/>
    <d v="2023-05-28T00:00:00"/>
    <d v="2024-04-30T00:00:00"/>
    <n v="928000"/>
    <n v="0"/>
    <s v="Inactive"/>
    <n v="0"/>
    <x v="1"/>
  </r>
  <r>
    <x v="433"/>
    <x v="461"/>
    <x v="0"/>
    <x v="7"/>
    <s v="Quality Eng"/>
    <s v="Engineering"/>
    <x v="1"/>
    <d v="2023-11-15T00:00:00"/>
    <m/>
    <n v="930000"/>
    <n v="0"/>
    <s v="Active"/>
    <n v="2"/>
    <x v="1"/>
  </r>
  <r>
    <x v="434"/>
    <x v="462"/>
    <x v="1"/>
    <x v="6"/>
    <s v="Quality Eng"/>
    <s v="Engineering"/>
    <x v="2"/>
    <d v="2020-01-21T00:00:00"/>
    <m/>
    <n v="932000"/>
    <n v="0.39"/>
    <s v="Active"/>
    <n v="6"/>
    <x v="1"/>
  </r>
  <r>
    <x v="435"/>
    <x v="463"/>
    <x v="0"/>
    <x v="7"/>
    <s v="Ops Eng"/>
    <s v="Engineering"/>
    <x v="0"/>
    <d v="2023-10-07T00:00:00"/>
    <m/>
    <n v="934000"/>
    <n v="0"/>
    <s v="Active"/>
    <n v="2"/>
    <x v="1"/>
  </r>
  <r>
    <x v="39"/>
    <x v="464"/>
    <x v="1"/>
    <x v="8"/>
    <s v="IT Coord"/>
    <s v="IT"/>
    <x v="1"/>
    <d v="2024-04-19T00:00:00"/>
    <m/>
    <n v="936000"/>
    <n v="0.09"/>
    <s v="Active"/>
    <n v="1"/>
    <x v="0"/>
  </r>
  <r>
    <x v="436"/>
    <x v="465"/>
    <x v="0"/>
    <x v="9"/>
    <s v="Ops Eng"/>
    <s v="Engineering"/>
    <x v="2"/>
    <d v="2020-09-09T00:00:00"/>
    <m/>
    <n v="938000"/>
    <n v="0"/>
    <s v="Active"/>
    <n v="5"/>
    <x v="3"/>
  </r>
  <r>
    <x v="437"/>
    <x v="466"/>
    <x v="1"/>
    <x v="1"/>
    <s v="Ops Eng"/>
    <s v="Engineering"/>
    <x v="3"/>
    <d v="2023-11-03T00:00:00"/>
    <m/>
    <n v="940000"/>
    <n v="0.11"/>
    <s v="Active"/>
    <n v="2"/>
    <x v="1"/>
  </r>
  <r>
    <x v="438"/>
    <x v="467"/>
    <x v="1"/>
    <x v="8"/>
    <s v="IT Coord"/>
    <s v="IT"/>
    <x v="3"/>
    <d v="2024-04-30T00:00:00"/>
    <m/>
    <n v="942000"/>
    <n v="0"/>
    <s v="Active"/>
    <n v="1"/>
    <x v="0"/>
  </r>
  <r>
    <x v="439"/>
    <x v="468"/>
    <x v="0"/>
    <x v="7"/>
    <s v="Auto Eng"/>
    <s v="Engineering"/>
    <x v="3"/>
    <d v="2020-02-26T00:00:00"/>
    <m/>
    <n v="944000"/>
    <n v="0.24"/>
    <s v="Active"/>
    <n v="5"/>
    <x v="1"/>
  </r>
  <r>
    <x v="440"/>
    <x v="469"/>
    <x v="1"/>
    <x v="2"/>
    <s v=" Dev Eng"/>
    <s v="Engineering"/>
    <x v="3"/>
    <d v="2022-09-11T00:00:00"/>
    <m/>
    <n v="946000"/>
    <n v="0.1"/>
    <s v="Active"/>
    <n v="3"/>
    <x v="0"/>
  </r>
  <r>
    <x v="441"/>
    <x v="470"/>
    <x v="1"/>
    <x v="0"/>
    <s v="Sr. Analyst"/>
    <s v="Finance"/>
    <x v="3"/>
    <d v="2024-05-18T00:00:00"/>
    <m/>
    <n v="948000"/>
    <n v="0.1"/>
    <s v="Active"/>
    <n v="1"/>
    <x v="0"/>
  </r>
  <r>
    <x v="442"/>
    <x v="471"/>
    <x v="1"/>
    <x v="4"/>
    <s v="Quality Eng"/>
    <s v="Engineering"/>
    <x v="0"/>
    <d v="2021-11-09T00:00:00"/>
    <m/>
    <n v="950000"/>
    <n v="0"/>
    <s v="Active"/>
    <n v="4"/>
    <x v="1"/>
  </r>
  <r>
    <x v="443"/>
    <x v="472"/>
    <x v="0"/>
    <x v="11"/>
    <s v="Ops Eng"/>
    <s v="Engineering"/>
    <x v="1"/>
    <d v="2020-05-12T00:00:00"/>
    <m/>
    <n v="952000"/>
    <n v="0"/>
    <s v="Active"/>
    <n v="5"/>
    <x v="0"/>
  </r>
  <r>
    <x v="444"/>
    <x v="473"/>
    <x v="1"/>
    <x v="8"/>
    <s v="Field Eng"/>
    <s v="Engineering"/>
    <x v="3"/>
    <d v="2022-09-11T00:00:00"/>
    <m/>
    <n v="954000"/>
    <n v="0"/>
    <s v="Active"/>
    <n v="3"/>
    <x v="0"/>
  </r>
  <r>
    <x v="445"/>
    <x v="474"/>
    <x v="0"/>
    <x v="7"/>
    <s v="Sr. Analyst"/>
    <s v="Accounting"/>
    <x v="2"/>
    <d v="2022-10-23T00:00:00"/>
    <m/>
    <n v="956000"/>
    <n v="0"/>
    <s v="Active"/>
    <n v="3"/>
    <x v="1"/>
  </r>
  <r>
    <x v="446"/>
    <x v="475"/>
    <x v="1"/>
    <x v="13"/>
    <s v="Net Admin"/>
    <s v="IT"/>
    <x v="3"/>
    <d v="2024-08-23T00:00:00"/>
    <m/>
    <n v="958000"/>
    <n v="0.32"/>
    <s v="Active"/>
    <n v="1"/>
    <x v="1"/>
  </r>
  <r>
    <x v="447"/>
    <x v="476"/>
    <x v="0"/>
    <x v="7"/>
    <s v="Sr. Analyst"/>
    <s v="Marketing"/>
    <x v="1"/>
    <d v="2023-11-07T00:00:00"/>
    <m/>
    <n v="960000"/>
    <n v="0"/>
    <s v="Active"/>
    <n v="2"/>
    <x v="1"/>
  </r>
  <r>
    <x v="448"/>
    <x v="477"/>
    <x v="0"/>
    <x v="13"/>
    <s v=" Dev Eng"/>
    <s v="Engineering"/>
    <x v="2"/>
    <d v="2023-10-07T00:00:00"/>
    <d v="2024-02-15T00:00:00"/>
    <n v="962000"/>
    <n v="0"/>
    <s v="Inactive"/>
    <n v="0"/>
    <x v="1"/>
  </r>
  <r>
    <x v="449"/>
    <x v="478"/>
    <x v="0"/>
    <x v="7"/>
    <s v="Net Admin"/>
    <s v="IT"/>
    <x v="2"/>
    <d v="2022-04-26T00:00:00"/>
    <m/>
    <n v="964000"/>
    <n v="0.11"/>
    <s v="Active"/>
    <n v="3"/>
    <x v="1"/>
  </r>
  <r>
    <x v="450"/>
    <x v="479"/>
    <x v="0"/>
    <x v="7"/>
    <s v="Field Eng"/>
    <s v="Engineering"/>
    <x v="0"/>
    <d v="2020-02-28T00:00:00"/>
    <m/>
    <n v="966000"/>
    <n v="0"/>
    <s v="Active"/>
    <n v="5"/>
    <x v="1"/>
  </r>
  <r>
    <x v="451"/>
    <x v="480"/>
    <x v="0"/>
    <x v="7"/>
    <s v="Auto Eng"/>
    <s v="Engineering"/>
    <x v="0"/>
    <d v="2020-10-12T00:00:00"/>
    <m/>
    <n v="968000"/>
    <n v="0.06"/>
    <s v="Active"/>
    <n v="5"/>
    <x v="1"/>
  </r>
  <r>
    <x v="452"/>
    <x v="481"/>
    <x v="0"/>
    <x v="7"/>
    <s v=" Dev Eng"/>
    <s v="Engineering"/>
    <x v="1"/>
    <d v="2022-01-27T00:00:00"/>
    <m/>
    <n v="970000"/>
    <n v="0"/>
    <s v="Active"/>
    <n v="4"/>
    <x v="1"/>
  </r>
  <r>
    <x v="12"/>
    <x v="482"/>
    <x v="0"/>
    <x v="1"/>
    <s v="Sr. Acc Rep"/>
    <s v="Sales"/>
    <x v="0"/>
    <d v="2024-02-15T00:00:00"/>
    <m/>
    <n v="972000"/>
    <n v="0"/>
    <s v="Active"/>
    <n v="1"/>
    <x v="1"/>
  </r>
  <r>
    <x v="453"/>
    <x v="483"/>
    <x v="1"/>
    <x v="8"/>
    <s v="Field Eng"/>
    <s v="Engineering"/>
    <x v="1"/>
    <d v="2024-02-10T00:00:00"/>
    <m/>
    <n v="974000"/>
    <n v="7.0000000000000007E-2"/>
    <s v="Active"/>
    <n v="2"/>
    <x v="0"/>
  </r>
  <r>
    <x v="454"/>
    <x v="484"/>
    <x v="0"/>
    <x v="15"/>
    <s v="Sr. Acc Rep"/>
    <s v="Sales"/>
    <x v="2"/>
    <d v="2020-12-18T00:00:00"/>
    <m/>
    <n v="976000"/>
    <n v="0"/>
    <s v="Active"/>
    <n v="5"/>
    <x v="1"/>
  </r>
  <r>
    <x v="455"/>
    <x v="485"/>
    <x v="0"/>
    <x v="4"/>
    <s v="Auto Eng"/>
    <s v="Engineering"/>
    <x v="1"/>
    <d v="2020-01-07T00:00:00"/>
    <m/>
    <n v="978000"/>
    <n v="0.3"/>
    <s v="Active"/>
    <n v="6"/>
    <x v="1"/>
  </r>
  <r>
    <x v="456"/>
    <x v="486"/>
    <x v="0"/>
    <x v="8"/>
    <s v="Auto Eng"/>
    <s v="Engineering"/>
    <x v="2"/>
    <d v="2023-10-07T00:00:00"/>
    <m/>
    <n v="980000"/>
    <n v="0"/>
    <s v="Active"/>
    <n v="2"/>
    <x v="0"/>
  </r>
  <r>
    <x v="457"/>
    <x v="487"/>
    <x v="0"/>
    <x v="17"/>
    <s v="Sr. Manger"/>
    <s v="Finance"/>
    <x v="2"/>
    <d v="2021-10-18T00:00:00"/>
    <m/>
    <n v="982000"/>
    <n v="0"/>
    <s v="Active"/>
    <n v="4"/>
    <x v="3"/>
  </r>
  <r>
    <x v="458"/>
    <x v="488"/>
    <x v="1"/>
    <x v="18"/>
    <s v="Sr. Manger"/>
    <s v="Marketing"/>
    <x v="1"/>
    <d v="2022-08-18T00:00:00"/>
    <m/>
    <n v="984000"/>
    <n v="0.05"/>
    <s v="Active"/>
    <n v="3"/>
    <x v="3"/>
  </r>
  <r>
    <x v="459"/>
    <x v="489"/>
    <x v="1"/>
    <x v="19"/>
    <s v="Sr. Manger"/>
    <s v="Accounting"/>
    <x v="0"/>
    <d v="2024-05-28T00:00:00"/>
    <m/>
    <n v="986000"/>
    <n v="0.15"/>
    <s v="Active"/>
    <n v="1"/>
    <x v="3"/>
  </r>
  <r>
    <x v="460"/>
    <x v="490"/>
    <x v="0"/>
    <x v="0"/>
    <s v="Quality Eng"/>
    <s v="Engineering"/>
    <x v="3"/>
    <d v="2022-09-07T00:00:00"/>
    <d v="2024-01-03T00:00:00"/>
    <n v="988000"/>
    <n v="0"/>
    <s v="Inactive"/>
    <n v="1"/>
    <x v="0"/>
  </r>
  <r>
    <x v="461"/>
    <x v="491"/>
    <x v="1"/>
    <x v="1"/>
    <s v="Sr. Manger"/>
    <s v="Marketing"/>
    <x v="3"/>
    <d v="2024-01-03T00:00:00"/>
    <m/>
    <n v="990000"/>
    <n v="0.36"/>
    <s v="Active"/>
    <n v="2"/>
    <x v="1"/>
  </r>
  <r>
    <x v="462"/>
    <x v="492"/>
    <x v="0"/>
    <x v="2"/>
    <s v="IT Coord"/>
    <s v="IT"/>
    <x v="2"/>
    <d v="2023-05-28T00:00:00"/>
    <m/>
    <n v="992000"/>
    <n v="0"/>
    <s v="Active"/>
    <n v="2"/>
    <x v="0"/>
  </r>
  <r>
    <x v="13"/>
    <x v="493"/>
    <x v="0"/>
    <x v="7"/>
    <s v="Quality Eng"/>
    <s v="Engineering"/>
    <x v="1"/>
    <d v="2023-11-15T00:00:00"/>
    <m/>
    <n v="994000"/>
    <n v="0"/>
    <s v="Active"/>
    <n v="2"/>
    <x v="1"/>
  </r>
  <r>
    <x v="463"/>
    <x v="494"/>
    <x v="0"/>
    <x v="7"/>
    <s v="Quality Eng"/>
    <s v="Engineering"/>
    <x v="2"/>
    <d v="2020-01-21T00:00:00"/>
    <m/>
    <n v="996000"/>
    <n v="0.31"/>
    <s v="Active"/>
    <n v="6"/>
    <x v="1"/>
  </r>
  <r>
    <x v="44"/>
    <x v="495"/>
    <x v="1"/>
    <x v="4"/>
    <s v="Ops Eng"/>
    <s v="Engineering"/>
    <x v="0"/>
    <d v="2023-10-07T00:00:00"/>
    <m/>
    <n v="998000"/>
    <n v="0.09"/>
    <s v="Active"/>
    <n v="2"/>
    <x v="1"/>
  </r>
  <r>
    <x v="464"/>
    <x v="496"/>
    <x v="0"/>
    <x v="7"/>
    <s v="IT Coord"/>
    <s v="IT"/>
    <x v="1"/>
    <d v="2024-04-19T00:00:00"/>
    <m/>
    <n v="1000000"/>
    <n v="0.1"/>
    <s v="Active"/>
    <n v="1"/>
    <x v="1"/>
  </r>
  <r>
    <x v="465"/>
    <x v="497"/>
    <x v="1"/>
    <x v="6"/>
    <s v="Ops Eng"/>
    <s v="Engineering"/>
    <x v="2"/>
    <d v="2020-09-09T00:00:00"/>
    <m/>
    <n v="1002000"/>
    <n v="0"/>
    <s v="Active"/>
    <n v="5"/>
    <x v="1"/>
  </r>
  <r>
    <x v="466"/>
    <x v="498"/>
    <x v="0"/>
    <x v="7"/>
    <s v="Ops Eng"/>
    <s v="Engineering"/>
    <x v="3"/>
    <d v="2023-11-03T00:00:00"/>
    <m/>
    <n v="1004000"/>
    <n v="0"/>
    <s v="Active"/>
    <n v="2"/>
    <x v="1"/>
  </r>
  <r>
    <x v="467"/>
    <x v="499"/>
    <x v="1"/>
    <x v="8"/>
    <s v="IT Coord"/>
    <s v="IT"/>
    <x v="3"/>
    <d v="2024-04-30T00:00:00"/>
    <m/>
    <n v="1006000"/>
    <n v="0.06"/>
    <s v="Active"/>
    <n v="1"/>
    <x v="0"/>
  </r>
  <r>
    <x v="468"/>
    <x v="500"/>
    <x v="1"/>
    <x v="9"/>
    <s v="Auto Eng"/>
    <s v="Engineering"/>
    <x v="3"/>
    <d v="2020-02-26T00:00:00"/>
    <m/>
    <n v="1008000"/>
    <n v="0"/>
    <s v="Active"/>
    <n v="5"/>
    <x v="3"/>
  </r>
  <r>
    <x v="439"/>
    <x v="501"/>
    <x v="1"/>
    <x v="1"/>
    <s v=" Dev Eng"/>
    <s v="Engineering"/>
    <x v="3"/>
    <d v="2022-09-11T00:00:00"/>
    <m/>
    <n v="1010000"/>
    <n v="0.09"/>
    <s v="Active"/>
    <n v="3"/>
    <x v="1"/>
  </r>
  <r>
    <x v="469"/>
    <x v="502"/>
    <x v="1"/>
    <x v="8"/>
    <s v="Sr. Analyst"/>
    <s v="Finance"/>
    <x v="3"/>
    <d v="2024-05-18T00:00:00"/>
    <m/>
    <n v="1012000"/>
    <n v="0"/>
    <s v="Active"/>
    <n v="1"/>
    <x v="0"/>
  </r>
  <r>
    <x v="470"/>
    <x v="503"/>
    <x v="0"/>
    <x v="7"/>
    <s v="Quality Eng"/>
    <s v="Engineering"/>
    <x v="0"/>
    <d v="2021-11-09T00:00:00"/>
    <m/>
    <n v="1014000"/>
    <n v="0"/>
    <s v="Active"/>
    <n v="4"/>
    <x v="1"/>
  </r>
  <r>
    <x v="471"/>
    <x v="504"/>
    <x v="1"/>
    <x v="2"/>
    <s v="Ops Eng"/>
    <s v="Engineering"/>
    <x v="1"/>
    <d v="2020-05-12T00:00:00"/>
    <m/>
    <n v="1016000"/>
    <n v="0.32"/>
    <s v="Active"/>
    <n v="5"/>
    <x v="0"/>
  </r>
  <r>
    <x v="472"/>
    <x v="505"/>
    <x v="0"/>
    <x v="0"/>
    <s v="Field Eng"/>
    <s v="Engineering"/>
    <x v="3"/>
    <d v="2022-09-11T00:00:00"/>
    <m/>
    <n v="1018000"/>
    <n v="0.11"/>
    <s v="Active"/>
    <n v="3"/>
    <x v="0"/>
  </r>
  <r>
    <x v="473"/>
    <x v="506"/>
    <x v="1"/>
    <x v="4"/>
    <s v="Sr. Analyst"/>
    <s v="Accounting"/>
    <x v="2"/>
    <d v="2022-10-23T00:00:00"/>
    <m/>
    <n v="1020000"/>
    <n v="0.3"/>
    <s v="Active"/>
    <n v="3"/>
    <x v="1"/>
  </r>
  <r>
    <x v="474"/>
    <x v="507"/>
    <x v="0"/>
    <x v="11"/>
    <s v="Net Admin"/>
    <s v="IT"/>
    <x v="3"/>
    <d v="2024-08-23T00:00:00"/>
    <m/>
    <n v="1022000"/>
    <n v="0"/>
    <s v="Active"/>
    <n v="1"/>
    <x v="0"/>
  </r>
  <r>
    <x v="475"/>
    <x v="508"/>
    <x v="1"/>
    <x v="8"/>
    <s v="Sr. Analyst"/>
    <s v="Marketing"/>
    <x v="1"/>
    <d v="2023-11-07T00:00:00"/>
    <m/>
    <n v="1024000"/>
    <n v="0"/>
    <s v="Active"/>
    <n v="2"/>
    <x v="0"/>
  </r>
  <r>
    <x v="476"/>
    <x v="509"/>
    <x v="0"/>
    <x v="7"/>
    <s v=" Dev Eng"/>
    <s v="Engineering"/>
    <x v="2"/>
    <d v="2023-10-07T00:00:00"/>
    <m/>
    <n v="1026000"/>
    <n v="0.08"/>
    <s v="Active"/>
    <n v="2"/>
    <x v="1"/>
  </r>
  <r>
    <x v="477"/>
    <x v="510"/>
    <x v="0"/>
    <x v="13"/>
    <s v="Net Admin"/>
    <s v="IT"/>
    <x v="2"/>
    <d v="2022-04-26T00:00:00"/>
    <m/>
    <n v="1028000"/>
    <n v="0"/>
    <s v="Active"/>
    <n v="3"/>
    <x v="1"/>
  </r>
  <r>
    <x v="478"/>
    <x v="511"/>
    <x v="0"/>
    <x v="7"/>
    <s v="Field Eng"/>
    <s v="Engineering"/>
    <x v="0"/>
    <d v="2020-02-28T00:00:00"/>
    <m/>
    <n v="1030000"/>
    <n v="0.24"/>
    <s v="Active"/>
    <n v="5"/>
    <x v="1"/>
  </r>
  <r>
    <x v="479"/>
    <x v="512"/>
    <x v="1"/>
    <x v="13"/>
    <s v="Auto Eng"/>
    <s v="Engineering"/>
    <x v="0"/>
    <d v="2020-10-12T00:00:00"/>
    <m/>
    <n v="1032000"/>
    <n v="0.33"/>
    <s v="Active"/>
    <n v="5"/>
    <x v="1"/>
  </r>
  <r>
    <x v="480"/>
    <x v="513"/>
    <x v="0"/>
    <x v="7"/>
    <s v=" Dev Eng"/>
    <s v="Engineering"/>
    <x v="1"/>
    <d v="2022-01-27T00:00:00"/>
    <m/>
    <n v="1034000"/>
    <n v="0"/>
    <s v="Active"/>
    <n v="4"/>
    <x v="1"/>
  </r>
  <r>
    <x v="481"/>
    <x v="514"/>
    <x v="1"/>
    <x v="7"/>
    <s v="Sr. Acc Rep"/>
    <s v="Sales"/>
    <x v="0"/>
    <d v="2024-02-15T00:00:00"/>
    <m/>
    <n v="1036000"/>
    <n v="7.0000000000000007E-2"/>
    <s v="Active"/>
    <n v="1"/>
    <x v="1"/>
  </r>
  <r>
    <x v="482"/>
    <x v="515"/>
    <x v="0"/>
    <x v="7"/>
    <s v="Field Eng"/>
    <s v="Engineering"/>
    <x v="1"/>
    <d v="2024-02-10T00:00:00"/>
    <m/>
    <n v="1038000"/>
    <n v="0.12"/>
    <s v="Active"/>
    <n v="2"/>
    <x v="1"/>
  </r>
  <r>
    <x v="483"/>
    <x v="516"/>
    <x v="0"/>
    <x v="7"/>
    <s v="Sr. Acc Rep"/>
    <s v="Sales"/>
    <x v="2"/>
    <d v="2020-12-18T00:00:00"/>
    <m/>
    <n v="1040000"/>
    <n v="7.0000000000000007E-2"/>
    <s v="Active"/>
    <n v="5"/>
    <x v="1"/>
  </r>
  <r>
    <x v="484"/>
    <x v="517"/>
    <x v="0"/>
    <x v="1"/>
    <s v="Auto Eng"/>
    <s v="Engineering"/>
    <x v="1"/>
    <d v="2020-01-07T00:00:00"/>
    <m/>
    <n v="1042000"/>
    <n v="0.2"/>
    <s v="Active"/>
    <n v="6"/>
    <x v="1"/>
  </r>
  <r>
    <x v="485"/>
    <x v="518"/>
    <x v="0"/>
    <x v="8"/>
    <s v="Auto Eng"/>
    <s v="Engineering"/>
    <x v="2"/>
    <d v="2023-10-07T00:00:00"/>
    <m/>
    <n v="1044000"/>
    <n v="0"/>
    <s v="Active"/>
    <n v="2"/>
    <x v="0"/>
  </r>
  <r>
    <x v="73"/>
    <x v="519"/>
    <x v="0"/>
    <x v="15"/>
    <s v="Sr. Manger"/>
    <s v="Finance"/>
    <x v="2"/>
    <d v="2021-10-18T00:00:00"/>
    <m/>
    <n v="1046000"/>
    <n v="0"/>
    <s v="Active"/>
    <n v="4"/>
    <x v="1"/>
  </r>
  <r>
    <x v="486"/>
    <x v="520"/>
    <x v="0"/>
    <x v="4"/>
    <s v="Sr. Manger"/>
    <s v="Marketing"/>
    <x v="1"/>
    <d v="2022-08-18T00:00:00"/>
    <m/>
    <n v="1048000"/>
    <n v="0"/>
    <s v="Active"/>
    <n v="3"/>
    <x v="1"/>
  </r>
  <r>
    <x v="487"/>
    <x v="521"/>
    <x v="1"/>
    <x v="8"/>
    <s v="Sr. Manger"/>
    <s v="Accounting"/>
    <x v="0"/>
    <d v="2024-05-28T00:00:00"/>
    <m/>
    <n v="1050000"/>
    <n v="0"/>
    <s v="Active"/>
    <n v="1"/>
    <x v="0"/>
  </r>
  <r>
    <x v="488"/>
    <x v="522"/>
    <x v="0"/>
    <x v="17"/>
    <s v="Quality Eng"/>
    <s v="Engineering"/>
    <x v="3"/>
    <d v="2022-09-07T00:00:00"/>
    <m/>
    <n v="1052000"/>
    <n v="0.35"/>
    <s v="Active"/>
    <n v="3"/>
    <x v="3"/>
  </r>
  <r>
    <x v="14"/>
    <x v="523"/>
    <x v="1"/>
    <x v="18"/>
    <s v="Sr. Manger"/>
    <s v="Marketing"/>
    <x v="3"/>
    <d v="2024-01-03T00:00:00"/>
    <m/>
    <n v="1054000"/>
    <n v="0"/>
    <s v="Active"/>
    <n v="2"/>
    <x v="3"/>
  </r>
  <r>
    <x v="489"/>
    <x v="524"/>
    <x v="0"/>
    <x v="19"/>
    <s v="IT Coord"/>
    <s v="IT"/>
    <x v="2"/>
    <d v="2023-05-28T00:00:00"/>
    <m/>
    <n v="1056000"/>
    <n v="0"/>
    <s v="Active"/>
    <n v="2"/>
    <x v="3"/>
  </r>
  <r>
    <x v="490"/>
    <x v="525"/>
    <x v="1"/>
    <x v="0"/>
    <s v="Quality Eng"/>
    <s v="Engineering"/>
    <x v="1"/>
    <d v="2023-11-15T00:00:00"/>
    <m/>
    <n v="1058000"/>
    <n v="0"/>
    <s v="Active"/>
    <n v="2"/>
    <x v="0"/>
  </r>
  <r>
    <x v="491"/>
    <x v="526"/>
    <x v="1"/>
    <x v="1"/>
    <s v="Quality Eng"/>
    <s v="Engineering"/>
    <x v="2"/>
    <d v="2020-01-21T00:00:00"/>
    <m/>
    <n v="1060000"/>
    <n v="0.2"/>
    <s v="Active"/>
    <n v="6"/>
    <x v="1"/>
  </r>
  <r>
    <x v="492"/>
    <x v="527"/>
    <x v="1"/>
    <x v="2"/>
    <s v="Ops Eng"/>
    <s v="Engineering"/>
    <x v="0"/>
    <d v="2023-10-07T00:00:00"/>
    <m/>
    <n v="1062000"/>
    <n v="0"/>
    <s v="Active"/>
    <n v="2"/>
    <x v="0"/>
  </r>
  <r>
    <x v="493"/>
    <x v="528"/>
    <x v="0"/>
    <x v="7"/>
    <s v="IT Coord"/>
    <s v="IT"/>
    <x v="1"/>
    <d v="2024-04-19T00:00:00"/>
    <m/>
    <n v="1064000"/>
    <n v="0.12"/>
    <s v="Active"/>
    <n v="1"/>
    <x v="1"/>
  </r>
  <r>
    <x v="494"/>
    <x v="529"/>
    <x v="0"/>
    <x v="7"/>
    <s v="Ops Eng"/>
    <s v="Engineering"/>
    <x v="2"/>
    <d v="2020-09-09T00:00:00"/>
    <m/>
    <n v="1066000"/>
    <n v="0"/>
    <s v="Active"/>
    <n v="5"/>
    <x v="1"/>
  </r>
  <r>
    <x v="65"/>
    <x v="530"/>
    <x v="0"/>
    <x v="4"/>
    <s v="Ops Eng"/>
    <s v="Engineering"/>
    <x v="3"/>
    <d v="2023-11-03T00:00:00"/>
    <m/>
    <n v="1068000"/>
    <n v="0"/>
    <s v="Active"/>
    <n v="2"/>
    <x v="1"/>
  </r>
  <r>
    <x v="495"/>
    <x v="531"/>
    <x v="0"/>
    <x v="7"/>
    <s v="IT Coord"/>
    <s v="IT"/>
    <x v="3"/>
    <d v="2024-04-30T00:00:00"/>
    <m/>
    <n v="1070000"/>
    <n v="0"/>
    <s v="Active"/>
    <n v="1"/>
    <x v="1"/>
  </r>
  <r>
    <x v="199"/>
    <x v="532"/>
    <x v="1"/>
    <x v="6"/>
    <s v="Auto Eng"/>
    <s v="Engineering"/>
    <x v="3"/>
    <d v="2020-02-26T00:00:00"/>
    <m/>
    <n v="1072000"/>
    <n v="0"/>
    <s v="Active"/>
    <n v="5"/>
    <x v="1"/>
  </r>
  <r>
    <x v="496"/>
    <x v="533"/>
    <x v="1"/>
    <x v="7"/>
    <s v=" Dev Eng"/>
    <s v="Engineering"/>
    <x v="3"/>
    <d v="2022-09-11T00:00:00"/>
    <m/>
    <n v="1074000"/>
    <n v="0.08"/>
    <s v="Active"/>
    <n v="3"/>
    <x v="1"/>
  </r>
  <r>
    <x v="497"/>
    <x v="534"/>
    <x v="1"/>
    <x v="8"/>
    <s v="Sr. Analyst"/>
    <s v="Finance"/>
    <x v="3"/>
    <d v="2024-05-18T00:00:00"/>
    <m/>
    <n v="1076000"/>
    <n v="0.26"/>
    <s v="Active"/>
    <n v="1"/>
    <x v="0"/>
  </r>
  <r>
    <x v="498"/>
    <x v="535"/>
    <x v="1"/>
    <x v="9"/>
    <s v="Quality Eng"/>
    <s v="Engineering"/>
    <x v="0"/>
    <d v="2021-11-09T00:00:00"/>
    <m/>
    <n v="1078000"/>
    <n v="0.17"/>
    <s v="Active"/>
    <n v="4"/>
    <x v="3"/>
  </r>
  <r>
    <x v="499"/>
    <x v="536"/>
    <x v="1"/>
    <x v="1"/>
    <s v="Ops Eng"/>
    <s v="Engineering"/>
    <x v="1"/>
    <d v="2020-05-12T00:00:00"/>
    <m/>
    <n v="1080000"/>
    <n v="0.14000000000000001"/>
    <s v="Active"/>
    <n v="5"/>
    <x v="1"/>
  </r>
  <r>
    <x v="379"/>
    <x v="537"/>
    <x v="0"/>
    <x v="8"/>
    <s v="Field Eng"/>
    <s v="Engineering"/>
    <x v="3"/>
    <d v="2022-09-11T00:00:00"/>
    <m/>
    <n v="1082000"/>
    <n v="0"/>
    <s v="Active"/>
    <n v="3"/>
    <x v="0"/>
  </r>
  <r>
    <x v="500"/>
    <x v="538"/>
    <x v="1"/>
    <x v="7"/>
    <s v="Sr. Analyst"/>
    <s v="Accounting"/>
    <x v="2"/>
    <d v="2022-10-23T00:00:00"/>
    <m/>
    <n v="1084000"/>
    <n v="0"/>
    <s v="Active"/>
    <n v="3"/>
    <x v="1"/>
  </r>
  <r>
    <x v="501"/>
    <x v="539"/>
    <x v="0"/>
    <x v="2"/>
    <s v="Net Admin"/>
    <s v="IT"/>
    <x v="3"/>
    <d v="2024-08-23T00:00:00"/>
    <m/>
    <n v="1086000"/>
    <n v="0"/>
    <s v="Active"/>
    <n v="1"/>
    <x v="0"/>
  </r>
  <r>
    <x v="502"/>
    <x v="540"/>
    <x v="1"/>
    <x v="0"/>
    <s v="Sr. Analyst"/>
    <s v="Marketing"/>
    <x v="1"/>
    <d v="2023-11-07T00:00:00"/>
    <m/>
    <n v="1088000"/>
    <n v="0"/>
    <s v="Active"/>
    <n v="2"/>
    <x v="0"/>
  </r>
  <r>
    <x v="95"/>
    <x v="541"/>
    <x v="1"/>
    <x v="4"/>
    <s v=" Dev Eng"/>
    <s v="Engineering"/>
    <x v="2"/>
    <d v="2023-10-07T00:00:00"/>
    <m/>
    <n v="1090000"/>
    <n v="0"/>
    <s v="Active"/>
    <n v="2"/>
    <x v="1"/>
  </r>
  <r>
    <x v="503"/>
    <x v="542"/>
    <x v="0"/>
    <x v="11"/>
    <s v="Net Admin"/>
    <s v="IT"/>
    <x v="2"/>
    <d v="2022-04-26T00:00:00"/>
    <m/>
    <n v="1092000"/>
    <n v="0"/>
    <s v="Active"/>
    <n v="3"/>
    <x v="0"/>
  </r>
  <r>
    <x v="504"/>
    <x v="543"/>
    <x v="1"/>
    <x v="8"/>
    <s v="Field Eng"/>
    <s v="Engineering"/>
    <x v="0"/>
    <d v="2020-02-28T00:00:00"/>
    <m/>
    <n v="1094000"/>
    <n v="0"/>
    <s v="Active"/>
    <n v="5"/>
    <x v="0"/>
  </r>
  <r>
    <x v="505"/>
    <x v="544"/>
    <x v="1"/>
    <x v="7"/>
    <s v="Auto Eng"/>
    <s v="Engineering"/>
    <x v="0"/>
    <d v="2020-10-12T00:00:00"/>
    <m/>
    <n v="1096000"/>
    <n v="0"/>
    <s v="Active"/>
    <n v="5"/>
    <x v="1"/>
  </r>
  <r>
    <x v="506"/>
    <x v="545"/>
    <x v="1"/>
    <x v="13"/>
    <s v=" Dev Eng"/>
    <s v="Engineering"/>
    <x v="1"/>
    <d v="2022-01-27T00:00:00"/>
    <m/>
    <n v="1098000"/>
    <n v="0.37"/>
    <s v="Active"/>
    <n v="4"/>
    <x v="1"/>
  </r>
  <r>
    <x v="507"/>
    <x v="546"/>
    <x v="1"/>
    <x v="7"/>
    <s v="Sr. Acc Rep"/>
    <s v="Sales"/>
    <x v="0"/>
    <d v="2024-02-15T00:00:00"/>
    <m/>
    <n v="1100000"/>
    <n v="0.14000000000000001"/>
    <s v="Active"/>
    <n v="1"/>
    <x v="1"/>
  </r>
  <r>
    <x v="508"/>
    <x v="547"/>
    <x v="0"/>
    <x v="13"/>
    <s v="Field Eng"/>
    <s v="Engineering"/>
    <x v="1"/>
    <d v="2024-02-10T00:00:00"/>
    <m/>
    <n v="1102000"/>
    <n v="0.12"/>
    <s v="Active"/>
    <n v="2"/>
    <x v="1"/>
  </r>
  <r>
    <x v="9"/>
    <x v="548"/>
    <x v="1"/>
    <x v="7"/>
    <s v="Sr. Acc Rep"/>
    <s v="Sales"/>
    <x v="2"/>
    <d v="2020-12-18T00:00:00"/>
    <m/>
    <n v="1104000"/>
    <n v="0.28000000000000003"/>
    <s v="Active"/>
    <n v="5"/>
    <x v="1"/>
  </r>
  <r>
    <x v="509"/>
    <x v="549"/>
    <x v="0"/>
    <x v="12"/>
    <s v="Auto Eng"/>
    <s v="Engineering"/>
    <x v="1"/>
    <d v="2020-01-07T00:00:00"/>
    <d v="2024-02-10T00:00:00"/>
    <n v="1106000"/>
    <n v="0.15"/>
    <s v="Inactive"/>
    <n v="4"/>
    <x v="2"/>
  </r>
  <r>
    <x v="510"/>
    <x v="550"/>
    <x v="0"/>
    <x v="7"/>
    <s v="Auto Eng"/>
    <s v="Engineering"/>
    <x v="2"/>
    <d v="2023-10-07T00:00:00"/>
    <m/>
    <n v="1108000"/>
    <n v="0.06"/>
    <s v="Active"/>
    <n v="2"/>
    <x v="1"/>
  </r>
  <r>
    <x v="511"/>
    <x v="551"/>
    <x v="0"/>
    <x v="7"/>
    <s v="Sr. Manger"/>
    <s v="Finance"/>
    <x v="2"/>
    <d v="2021-10-18T00:00:00"/>
    <m/>
    <n v="1110000"/>
    <n v="0.16"/>
    <s v="Active"/>
    <n v="4"/>
    <x v="1"/>
  </r>
  <r>
    <x v="512"/>
    <x v="552"/>
    <x v="0"/>
    <x v="1"/>
    <s v="Sr. Manger"/>
    <s v="Marketing"/>
    <x v="1"/>
    <d v="2022-08-18T00:00:00"/>
    <m/>
    <n v="1112000"/>
    <n v="0"/>
    <s v="Active"/>
    <n v="3"/>
    <x v="1"/>
  </r>
  <r>
    <x v="513"/>
    <x v="553"/>
    <x v="0"/>
    <x v="8"/>
    <s v="Sr. Manger"/>
    <s v="Accounting"/>
    <x v="0"/>
    <d v="2024-05-28T00:00:00"/>
    <m/>
    <n v="1114000"/>
    <n v="0"/>
    <s v="Active"/>
    <n v="1"/>
    <x v="0"/>
  </r>
  <r>
    <x v="514"/>
    <x v="554"/>
    <x v="1"/>
    <x v="15"/>
    <s v="Quality Eng"/>
    <s v="Engineering"/>
    <x v="3"/>
    <d v="2022-09-07T00:00:00"/>
    <m/>
    <n v="1116000"/>
    <n v="0"/>
    <s v="Active"/>
    <n v="3"/>
    <x v="1"/>
  </r>
  <r>
    <x v="515"/>
    <x v="555"/>
    <x v="0"/>
    <x v="4"/>
    <s v="Sr. Manger"/>
    <s v="Marketing"/>
    <x v="3"/>
    <d v="2024-01-03T00:00:00"/>
    <m/>
    <n v="1118000"/>
    <n v="0"/>
    <s v="Active"/>
    <n v="2"/>
    <x v="1"/>
  </r>
  <r>
    <x v="516"/>
    <x v="556"/>
    <x v="1"/>
    <x v="8"/>
    <s v="IT Coord"/>
    <s v="IT"/>
    <x v="2"/>
    <d v="2023-05-28T00:00:00"/>
    <m/>
    <n v="1120000"/>
    <n v="0.14000000000000001"/>
    <s v="Active"/>
    <n v="2"/>
    <x v="0"/>
  </r>
  <r>
    <x v="517"/>
    <x v="557"/>
    <x v="0"/>
    <x v="17"/>
    <s v="Quality Eng"/>
    <s v="Engineering"/>
    <x v="1"/>
    <d v="2023-11-15T00:00:00"/>
    <m/>
    <n v="1122000"/>
    <n v="7.0000000000000007E-2"/>
    <s v="Active"/>
    <n v="2"/>
    <x v="3"/>
  </r>
  <r>
    <x v="518"/>
    <x v="558"/>
    <x v="1"/>
    <x v="18"/>
    <s v="Quality Eng"/>
    <s v="Engineering"/>
    <x v="2"/>
    <d v="2020-01-21T00:00:00"/>
    <m/>
    <n v="1124000"/>
    <n v="7.0000000000000007E-2"/>
    <s v="Active"/>
    <n v="6"/>
    <x v="3"/>
  </r>
  <r>
    <x v="519"/>
    <x v="559"/>
    <x v="1"/>
    <x v="19"/>
    <s v="Ops Eng"/>
    <s v="Engineering"/>
    <x v="0"/>
    <d v="2023-10-07T00:00:00"/>
    <m/>
    <n v="1126000"/>
    <n v="0"/>
    <s v="Active"/>
    <n v="2"/>
    <x v="3"/>
  </r>
  <r>
    <x v="520"/>
    <x v="560"/>
    <x v="1"/>
    <x v="0"/>
    <s v="IT Coord"/>
    <s v="IT"/>
    <x v="1"/>
    <d v="2024-04-19T00:00:00"/>
    <m/>
    <n v="1128000"/>
    <n v="0"/>
    <s v="Active"/>
    <n v="1"/>
    <x v="0"/>
  </r>
  <r>
    <x v="521"/>
    <x v="561"/>
    <x v="0"/>
    <x v="1"/>
    <s v="Ops Eng"/>
    <s v="Engineering"/>
    <x v="2"/>
    <d v="2020-09-09T00:00:00"/>
    <m/>
    <n v="1130000"/>
    <n v="0"/>
    <s v="Active"/>
    <n v="5"/>
    <x v="1"/>
  </r>
  <r>
    <x v="522"/>
    <x v="562"/>
    <x v="1"/>
    <x v="2"/>
    <s v="Ops Eng"/>
    <s v="Engineering"/>
    <x v="3"/>
    <d v="2023-11-03T00:00:00"/>
    <m/>
    <n v="1132000"/>
    <n v="0"/>
    <s v="Active"/>
    <n v="2"/>
    <x v="0"/>
  </r>
  <r>
    <x v="523"/>
    <x v="563"/>
    <x v="0"/>
    <x v="3"/>
    <s v="IT Coord"/>
    <s v="IT"/>
    <x v="3"/>
    <d v="2020-04-30T00:00:00"/>
    <d v="2023-10-07T00:00:00"/>
    <n v="1134000"/>
    <n v="0.23"/>
    <s v="Inactive"/>
    <n v="3"/>
    <x v="1"/>
  </r>
  <r>
    <x v="524"/>
    <x v="564"/>
    <x v="1"/>
    <x v="7"/>
    <s v="Auto Eng"/>
    <s v="Engineering"/>
    <x v="3"/>
    <d v="2020-02-26T00:00:00"/>
    <m/>
    <n v="1136000"/>
    <n v="0.39"/>
    <s v="Active"/>
    <n v="5"/>
    <x v="1"/>
  </r>
  <r>
    <x v="525"/>
    <x v="565"/>
    <x v="1"/>
    <x v="4"/>
    <s v=" Dev Eng"/>
    <s v="Engineering"/>
    <x v="3"/>
    <d v="2022-09-11T00:00:00"/>
    <m/>
    <n v="1138000"/>
    <n v="0.11"/>
    <s v="Active"/>
    <n v="3"/>
    <x v="1"/>
  </r>
  <r>
    <x v="526"/>
    <x v="566"/>
    <x v="1"/>
    <x v="7"/>
    <s v="Sr. Analyst"/>
    <s v="Finance"/>
    <x v="3"/>
    <d v="2024-05-18T00:00:00"/>
    <m/>
    <n v="1140000"/>
    <n v="0.18"/>
    <s v="Active"/>
    <n v="1"/>
    <x v="1"/>
  </r>
  <r>
    <x v="527"/>
    <x v="567"/>
    <x v="1"/>
    <x v="6"/>
    <s v="Quality Eng"/>
    <s v="Engineering"/>
    <x v="0"/>
    <d v="2021-11-09T00:00:00"/>
    <m/>
    <n v="1142000"/>
    <n v="0.31"/>
    <s v="Active"/>
    <n v="4"/>
    <x v="1"/>
  </r>
  <r>
    <x v="528"/>
    <x v="568"/>
    <x v="1"/>
    <x v="7"/>
    <s v="Ops Eng"/>
    <s v="Engineering"/>
    <x v="1"/>
    <d v="2020-05-12T00:00:00"/>
    <m/>
    <n v="1144000"/>
    <n v="0"/>
    <s v="Active"/>
    <n v="5"/>
    <x v="1"/>
  </r>
  <r>
    <x v="529"/>
    <x v="569"/>
    <x v="1"/>
    <x v="8"/>
    <s v="Field Eng"/>
    <s v="Engineering"/>
    <x v="3"/>
    <d v="2022-09-11T00:00:00"/>
    <m/>
    <n v="1146000"/>
    <n v="0"/>
    <s v="Active"/>
    <n v="3"/>
    <x v="0"/>
  </r>
  <r>
    <x v="530"/>
    <x v="570"/>
    <x v="0"/>
    <x v="9"/>
    <s v="Sr. Analyst"/>
    <s v="Accounting"/>
    <x v="2"/>
    <d v="2022-10-23T00:00:00"/>
    <m/>
    <n v="1148000"/>
    <n v="0.13"/>
    <s v="Active"/>
    <n v="3"/>
    <x v="3"/>
  </r>
  <r>
    <x v="89"/>
    <x v="571"/>
    <x v="1"/>
    <x v="1"/>
    <s v="Net Admin"/>
    <s v="IT"/>
    <x v="3"/>
    <d v="2024-08-23T00:00:00"/>
    <m/>
    <n v="1150000"/>
    <n v="0"/>
    <s v="Active"/>
    <n v="1"/>
    <x v="1"/>
  </r>
  <r>
    <x v="531"/>
    <x v="572"/>
    <x v="0"/>
    <x v="8"/>
    <s v="Sr. Analyst"/>
    <s v="Marketing"/>
    <x v="1"/>
    <d v="2023-11-07T00:00:00"/>
    <m/>
    <n v="1152000"/>
    <n v="0.05"/>
    <s v="Active"/>
    <n v="2"/>
    <x v="0"/>
  </r>
  <r>
    <x v="532"/>
    <x v="573"/>
    <x v="1"/>
    <x v="10"/>
    <s v=" Dev Eng"/>
    <s v="Engineering"/>
    <x v="2"/>
    <d v="2023-10-07T00:00:00"/>
    <d v="2024-05-18T00:00:00"/>
    <n v="1154000"/>
    <n v="0.21"/>
    <s v="Inactive"/>
    <n v="0"/>
    <x v="2"/>
  </r>
  <r>
    <x v="533"/>
    <x v="574"/>
    <x v="1"/>
    <x v="2"/>
    <s v="Net Admin"/>
    <s v="IT"/>
    <x v="2"/>
    <d v="2022-04-26T00:00:00"/>
    <m/>
    <n v="1156000"/>
    <n v="0"/>
    <s v="Active"/>
    <n v="3"/>
    <x v="0"/>
  </r>
  <r>
    <x v="534"/>
    <x v="575"/>
    <x v="0"/>
    <x v="0"/>
    <s v="Field Eng"/>
    <s v="Engineering"/>
    <x v="0"/>
    <d v="2020-02-28T00:00:00"/>
    <m/>
    <n v="1158000"/>
    <n v="7.0000000000000007E-2"/>
    <s v="Active"/>
    <n v="5"/>
    <x v="0"/>
  </r>
  <r>
    <x v="535"/>
    <x v="576"/>
    <x v="1"/>
    <x v="4"/>
    <s v="Auto Eng"/>
    <s v="Engineering"/>
    <x v="0"/>
    <d v="2020-10-12T00:00:00"/>
    <m/>
    <n v="1160000"/>
    <n v="0"/>
    <s v="Active"/>
    <n v="5"/>
    <x v="1"/>
  </r>
  <r>
    <x v="536"/>
    <x v="577"/>
    <x v="1"/>
    <x v="11"/>
    <s v=" Dev Eng"/>
    <s v="Engineering"/>
    <x v="1"/>
    <d v="2022-01-27T00:00:00"/>
    <d v="2024-08-23T00:00:00"/>
    <n v="1162000"/>
    <n v="0"/>
    <s v="Inactive"/>
    <n v="2"/>
    <x v="0"/>
  </r>
  <r>
    <x v="537"/>
    <x v="578"/>
    <x v="1"/>
    <x v="8"/>
    <s v="Sr. Acc Rep"/>
    <s v="Sales"/>
    <x v="0"/>
    <d v="2024-02-15T00:00:00"/>
    <m/>
    <n v="1164000"/>
    <n v="0.28000000000000003"/>
    <s v="Active"/>
    <n v="1"/>
    <x v="0"/>
  </r>
  <r>
    <x v="538"/>
    <x v="579"/>
    <x v="1"/>
    <x v="17"/>
    <s v="Field Eng"/>
    <s v="Engineering"/>
    <x v="1"/>
    <d v="2024-02-10T00:00:00"/>
    <m/>
    <n v="1166000"/>
    <n v="0"/>
    <s v="Active"/>
    <n v="2"/>
    <x v="3"/>
  </r>
  <r>
    <x v="109"/>
    <x v="580"/>
    <x v="0"/>
    <x v="13"/>
    <s v="Sr. Acc Rep"/>
    <s v="Sales"/>
    <x v="2"/>
    <d v="2020-12-18T00:00:00"/>
    <m/>
    <n v="1168000"/>
    <n v="0.12"/>
    <s v="Active"/>
    <n v="5"/>
    <x v="1"/>
  </r>
  <r>
    <x v="539"/>
    <x v="581"/>
    <x v="1"/>
    <x v="17"/>
    <s v="Auto Eng"/>
    <s v="Engineering"/>
    <x v="1"/>
    <d v="2020-01-07T00:00:00"/>
    <m/>
    <n v="1170000"/>
    <n v="0.13"/>
    <s v="Active"/>
    <n v="6"/>
    <x v="3"/>
  </r>
  <r>
    <x v="540"/>
    <x v="582"/>
    <x v="0"/>
    <x v="13"/>
    <s v="Auto Eng"/>
    <s v="Engineering"/>
    <x v="2"/>
    <d v="2023-10-07T00:00:00"/>
    <m/>
    <n v="1172000"/>
    <n v="0.06"/>
    <s v="Active"/>
    <n v="2"/>
    <x v="1"/>
  </r>
  <r>
    <x v="541"/>
    <x v="583"/>
    <x v="0"/>
    <x v="7"/>
    <s v="Sr. Manger"/>
    <s v="Finance"/>
    <x v="2"/>
    <d v="2021-10-18T00:00:00"/>
    <m/>
    <n v="1174000"/>
    <n v="0.39"/>
    <s v="Active"/>
    <n v="4"/>
    <x v="1"/>
  </r>
  <r>
    <x v="542"/>
    <x v="584"/>
    <x v="0"/>
    <x v="7"/>
    <s v="Sr. Manger"/>
    <s v="Marketing"/>
    <x v="1"/>
    <d v="2022-08-18T00:00:00"/>
    <m/>
    <n v="1176000"/>
    <n v="0"/>
    <s v="Active"/>
    <n v="3"/>
    <x v="1"/>
  </r>
  <r>
    <x v="543"/>
    <x v="585"/>
    <x v="0"/>
    <x v="7"/>
    <s v="Sr. Manger"/>
    <s v="Accounting"/>
    <x v="0"/>
    <d v="2024-05-28T00:00:00"/>
    <m/>
    <n v="1178000"/>
    <n v="0.1"/>
    <s v="Active"/>
    <n v="1"/>
    <x v="1"/>
  </r>
  <r>
    <x v="37"/>
    <x v="586"/>
    <x v="1"/>
    <x v="17"/>
    <s v="Quality Eng"/>
    <s v="Engineering"/>
    <x v="3"/>
    <d v="2022-09-07T00:00:00"/>
    <m/>
    <n v="1180000"/>
    <n v="0"/>
    <s v="Active"/>
    <n v="3"/>
    <x v="3"/>
  </r>
  <r>
    <x v="544"/>
    <x v="587"/>
    <x v="0"/>
    <x v="1"/>
    <s v="Sr. Manger"/>
    <s v="Marketing"/>
    <x v="3"/>
    <d v="2022-01-03T00:00:00"/>
    <d v="2023-10-07T00:00:00"/>
    <n v="1182000"/>
    <n v="0"/>
    <s v="Inactive"/>
    <n v="1"/>
    <x v="1"/>
  </r>
  <r>
    <x v="545"/>
    <x v="588"/>
    <x v="1"/>
    <x v="8"/>
    <s v="IT Coord"/>
    <s v="IT"/>
    <x v="2"/>
    <d v="2023-05-28T00:00:00"/>
    <m/>
    <n v="1184000"/>
    <n v="7.0000000000000007E-2"/>
    <s v="Active"/>
    <n v="2"/>
    <x v="0"/>
  </r>
  <r>
    <x v="509"/>
    <x v="589"/>
    <x v="0"/>
    <x v="15"/>
    <s v="Quality Eng"/>
    <s v="Engineering"/>
    <x v="1"/>
    <d v="2023-11-15T00:00:00"/>
    <m/>
    <n v="1186000"/>
    <n v="0"/>
    <s v="Active"/>
    <n v="2"/>
    <x v="1"/>
  </r>
  <r>
    <x v="427"/>
    <x v="590"/>
    <x v="1"/>
    <x v="15"/>
    <s v="Quality Eng"/>
    <s v="Engineering"/>
    <x v="2"/>
    <d v="2020-01-21T00:00:00"/>
    <m/>
    <n v="1188000"/>
    <n v="0"/>
    <s v="Active"/>
    <n v="6"/>
    <x v="1"/>
  </r>
  <r>
    <x v="546"/>
    <x v="591"/>
    <x v="1"/>
    <x v="0"/>
    <s v="Ops Eng"/>
    <s v="Engineering"/>
    <x v="0"/>
    <d v="2023-10-07T00:00:00"/>
    <m/>
    <n v="1190000"/>
    <n v="0"/>
    <s v="Active"/>
    <n v="2"/>
    <x v="0"/>
  </r>
  <r>
    <x v="547"/>
    <x v="592"/>
    <x v="1"/>
    <x v="1"/>
    <s v="IT Coord"/>
    <s v="IT"/>
    <x v="1"/>
    <d v="2024-04-19T00:00:00"/>
    <m/>
    <n v="1192000"/>
    <n v="0.1"/>
    <s v="Active"/>
    <n v="1"/>
    <x v="1"/>
  </r>
  <r>
    <x v="548"/>
    <x v="593"/>
    <x v="0"/>
    <x v="2"/>
    <s v="Ops Eng"/>
    <s v="Engineering"/>
    <x v="2"/>
    <d v="2020-09-09T00:00:00"/>
    <m/>
    <n v="1194000"/>
    <n v="0.09"/>
    <s v="Active"/>
    <n v="5"/>
    <x v="0"/>
  </r>
  <r>
    <x v="450"/>
    <x v="594"/>
    <x v="1"/>
    <x v="17"/>
    <s v="Ops Eng"/>
    <s v="Engineering"/>
    <x v="3"/>
    <d v="2023-11-03T00:00:00"/>
    <m/>
    <n v="1196000"/>
    <n v="0.3"/>
    <s v="Active"/>
    <n v="2"/>
    <x v="3"/>
  </r>
  <r>
    <x v="42"/>
    <x v="595"/>
    <x v="0"/>
    <x v="2"/>
    <s v="IT Coord"/>
    <s v="IT"/>
    <x v="3"/>
    <d v="2024-04-30T00:00:00"/>
    <m/>
    <n v="1198000"/>
    <n v="0.23"/>
    <s v="Active"/>
    <n v="1"/>
    <x v="0"/>
  </r>
  <r>
    <x v="549"/>
    <x v="596"/>
    <x v="1"/>
    <x v="4"/>
    <s v="Auto Eng"/>
    <s v="Engineering"/>
    <x v="3"/>
    <d v="2020-02-26T00:00:00"/>
    <m/>
    <n v="1200000"/>
    <n v="0"/>
    <s v="Active"/>
    <n v="5"/>
    <x v="1"/>
  </r>
  <r>
    <x v="550"/>
    <x v="597"/>
    <x v="1"/>
    <x v="17"/>
    <s v=" Dev Eng"/>
    <s v="Engineering"/>
    <x v="3"/>
    <d v="2022-09-11T00:00:00"/>
    <m/>
    <n v="1202000"/>
    <n v="0"/>
    <s v="Active"/>
    <n v="3"/>
    <x v="3"/>
  </r>
  <r>
    <x v="551"/>
    <x v="598"/>
    <x v="1"/>
    <x v="6"/>
    <s v="Sr. Analyst"/>
    <s v="Finance"/>
    <x v="3"/>
    <d v="2024-05-18T00:00:00"/>
    <m/>
    <n v="1204000"/>
    <n v="0"/>
    <s v="Active"/>
    <n v="1"/>
    <x v="1"/>
  </r>
  <r>
    <x v="552"/>
    <x v="599"/>
    <x v="1"/>
    <x v="7"/>
    <s v="Quality Eng"/>
    <s v="Engineering"/>
    <x v="0"/>
    <d v="2021-11-09T00:00:00"/>
    <m/>
    <n v="1206000"/>
    <n v="0"/>
    <s v="Active"/>
    <n v="4"/>
    <x v="1"/>
  </r>
  <r>
    <x v="553"/>
    <x v="600"/>
    <x v="1"/>
    <x v="8"/>
    <s v="Ops Eng"/>
    <s v="Engineering"/>
    <x v="1"/>
    <d v="2020-05-12T00:00:00"/>
    <m/>
    <n v="1208000"/>
    <n v="0.11"/>
    <s v="Active"/>
    <n v="5"/>
    <x v="0"/>
  </r>
  <r>
    <x v="221"/>
    <x v="601"/>
    <x v="1"/>
    <x v="9"/>
    <s v="Field Eng"/>
    <s v="Engineering"/>
    <x v="3"/>
    <d v="2022-09-11T00:00:00"/>
    <m/>
    <n v="1210000"/>
    <n v="0.06"/>
    <s v="Active"/>
    <n v="3"/>
    <x v="3"/>
  </r>
  <r>
    <x v="554"/>
    <x v="602"/>
    <x v="0"/>
    <x v="1"/>
    <s v="Sr. Analyst"/>
    <s v="Accounting"/>
    <x v="2"/>
    <d v="2022-10-23T00:00:00"/>
    <m/>
    <n v="1212000"/>
    <n v="0.36"/>
    <s v="Active"/>
    <n v="3"/>
    <x v="1"/>
  </r>
  <r>
    <x v="555"/>
    <x v="603"/>
    <x v="1"/>
    <x v="8"/>
    <s v="Net Admin"/>
    <s v="IT"/>
    <x v="3"/>
    <d v="2024-08-23T00:00:00"/>
    <m/>
    <n v="1214000"/>
    <n v="0.06"/>
    <s v="Active"/>
    <n v="1"/>
    <x v="0"/>
  </r>
  <r>
    <x v="556"/>
    <x v="604"/>
    <x v="0"/>
    <x v="10"/>
    <s v="Sr. Analyst"/>
    <s v="Marketing"/>
    <x v="1"/>
    <d v="2023-11-07T00:00:00"/>
    <d v="2024-04-19T00:00:00"/>
    <n v="1216000"/>
    <n v="0"/>
    <s v="Inactive"/>
    <n v="0"/>
    <x v="2"/>
  </r>
  <r>
    <x v="557"/>
    <x v="605"/>
    <x v="1"/>
    <x v="2"/>
    <s v=" Dev Eng"/>
    <s v="Engineering"/>
    <x v="2"/>
    <d v="2023-10-07T00:00:00"/>
    <m/>
    <n v="1218000"/>
    <n v="0"/>
    <s v="Active"/>
    <n v="2"/>
    <x v="0"/>
  </r>
  <r>
    <x v="558"/>
    <x v="606"/>
    <x v="1"/>
    <x v="0"/>
    <s v="Net Admin"/>
    <s v="IT"/>
    <x v="2"/>
    <d v="2022-04-26T00:00:00"/>
    <m/>
    <n v="1220000"/>
    <n v="0.28000000000000003"/>
    <s v="Active"/>
    <n v="3"/>
    <x v="0"/>
  </r>
  <r>
    <x v="559"/>
    <x v="607"/>
    <x v="0"/>
    <x v="4"/>
    <s v="Field Eng"/>
    <s v="Engineering"/>
    <x v="0"/>
    <d v="2020-02-28T00:00:00"/>
    <d v="2022-09-11T00:00:00"/>
    <n v="1222000"/>
    <n v="0"/>
    <s v="Inactive"/>
    <n v="2"/>
    <x v="1"/>
  </r>
  <r>
    <x v="560"/>
    <x v="608"/>
    <x v="1"/>
    <x v="11"/>
    <s v="Auto Eng"/>
    <s v="Engineering"/>
    <x v="0"/>
    <d v="2020-10-12T00:00:00"/>
    <m/>
    <n v="1224000"/>
    <n v="0.32"/>
    <s v="Active"/>
    <n v="5"/>
    <x v="0"/>
  </r>
  <r>
    <x v="561"/>
    <x v="609"/>
    <x v="1"/>
    <x v="8"/>
    <s v=" Dev Eng"/>
    <s v="Engineering"/>
    <x v="1"/>
    <d v="2022-01-27T00:00:00"/>
    <m/>
    <n v="1226000"/>
    <n v="0.13"/>
    <s v="Active"/>
    <n v="4"/>
    <x v="0"/>
  </r>
  <r>
    <x v="562"/>
    <x v="610"/>
    <x v="1"/>
    <x v="17"/>
    <s v="Sr. Acc Rep"/>
    <s v="Sales"/>
    <x v="0"/>
    <d v="2024-02-15T00:00:00"/>
    <m/>
    <n v="1228000"/>
    <n v="7.0000000000000007E-2"/>
    <s v="Active"/>
    <n v="1"/>
    <x v="3"/>
  </r>
  <r>
    <x v="563"/>
    <x v="611"/>
    <x v="1"/>
    <x v="13"/>
    <s v="Field Eng"/>
    <s v="Engineering"/>
    <x v="1"/>
    <d v="2024-02-10T00:00:00"/>
    <m/>
    <n v="1230000"/>
    <n v="0.37"/>
    <s v="Active"/>
    <n v="2"/>
    <x v="1"/>
  </r>
  <r>
    <x v="564"/>
    <x v="612"/>
    <x v="0"/>
    <x v="2"/>
    <s v="Sr. Acc Rep"/>
    <s v="Sales"/>
    <x v="2"/>
    <d v="2020-12-18T00:00:00"/>
    <m/>
    <n v="1232000"/>
    <n v="0.09"/>
    <s v="Active"/>
    <n v="5"/>
    <x v="0"/>
  </r>
  <r>
    <x v="16"/>
    <x v="613"/>
    <x v="1"/>
    <x v="13"/>
    <s v="Auto Eng"/>
    <s v="Engineering"/>
    <x v="1"/>
    <d v="2020-01-07T00:00:00"/>
    <m/>
    <n v="1234000"/>
    <n v="0"/>
    <s v="Active"/>
    <n v="6"/>
    <x v="1"/>
  </r>
  <r>
    <x v="565"/>
    <x v="614"/>
    <x v="0"/>
    <x v="2"/>
    <s v="Auto Eng"/>
    <s v="Engineering"/>
    <x v="2"/>
    <d v="2023-10-07T00:00:00"/>
    <m/>
    <n v="1236000"/>
    <n v="0"/>
    <s v="Active"/>
    <n v="2"/>
    <x v="0"/>
  </r>
  <r>
    <x v="566"/>
    <x v="615"/>
    <x v="0"/>
    <x v="2"/>
    <s v="Sr. Manger"/>
    <s v="Finance"/>
    <x v="2"/>
    <d v="2021-10-18T00:00:00"/>
    <m/>
    <n v="1238000"/>
    <n v="0.16"/>
    <s v="Active"/>
    <n v="4"/>
    <x v="0"/>
  </r>
  <r>
    <x v="567"/>
    <x v="616"/>
    <x v="0"/>
    <x v="2"/>
    <s v="Sr. Manger"/>
    <s v="Marketing"/>
    <x v="1"/>
    <d v="2022-08-18T00:00:00"/>
    <m/>
    <n v="1240000"/>
    <n v="0"/>
    <s v="Active"/>
    <n v="3"/>
    <x v="0"/>
  </r>
  <r>
    <x v="568"/>
    <x v="617"/>
    <x v="0"/>
    <x v="20"/>
    <s v="Sr. Manger"/>
    <s v="Accounting"/>
    <x v="0"/>
    <d v="2024-05-28T00:00:00"/>
    <m/>
    <n v="1242000"/>
    <n v="0"/>
    <s v="Active"/>
    <n v="1"/>
    <x v="0"/>
  </r>
  <r>
    <x v="569"/>
    <x v="618"/>
    <x v="0"/>
    <x v="1"/>
    <s v="Quality Eng"/>
    <s v="Engineering"/>
    <x v="3"/>
    <d v="2022-09-07T00:00:00"/>
    <m/>
    <n v="1244000"/>
    <n v="0.11"/>
    <s v="Active"/>
    <n v="3"/>
    <x v="1"/>
  </r>
  <r>
    <x v="570"/>
    <x v="619"/>
    <x v="1"/>
    <x v="8"/>
    <s v="Sr. Manger"/>
    <s v="Marketing"/>
    <x v="3"/>
    <d v="2024-01-03T00:00:00"/>
    <m/>
    <n v="1246000"/>
    <n v="0"/>
    <s v="Active"/>
    <n v="2"/>
    <x v="0"/>
  </r>
  <r>
    <x v="571"/>
    <x v="620"/>
    <x v="0"/>
    <x v="15"/>
    <s v="IT Coord"/>
    <s v="IT"/>
    <x v="2"/>
    <d v="2023-05-28T00:00:00"/>
    <d v="2024-02-15T00:00:00"/>
    <n v="1248000"/>
    <n v="0"/>
    <s v="Inactive"/>
    <n v="0"/>
    <x v="1"/>
  </r>
  <r>
    <x v="572"/>
    <x v="621"/>
    <x v="1"/>
    <x v="4"/>
    <s v="Quality Eng"/>
    <s v="Engineering"/>
    <x v="1"/>
    <d v="2023-11-15T00:00:00"/>
    <d v="2024-01-03T00:00:00"/>
    <n v="1250000"/>
    <n v="0"/>
    <s v="Inactive"/>
    <n v="0"/>
    <x v="1"/>
  </r>
  <r>
    <x v="573"/>
    <x v="622"/>
    <x v="0"/>
    <x v="8"/>
    <s v="Quality Eng"/>
    <s v="Engineering"/>
    <x v="2"/>
    <d v="2020-01-21T00:00:00"/>
    <d v="2023-10-07T00:00:00"/>
    <n v="1252000"/>
    <n v="0.32"/>
    <s v="Inactive"/>
    <n v="3"/>
    <x v="0"/>
  </r>
  <r>
    <x v="574"/>
    <x v="623"/>
    <x v="1"/>
    <x v="17"/>
    <s v="Ops Eng"/>
    <s v="Engineering"/>
    <x v="0"/>
    <d v="2023-10-07T00:00:00"/>
    <m/>
    <n v="1254000"/>
    <n v="0.09"/>
    <s v="Active"/>
    <n v="2"/>
    <x v="3"/>
  </r>
  <r>
    <x v="17"/>
    <x v="624"/>
    <x v="1"/>
    <x v="18"/>
    <s v="IT Coord"/>
    <s v="IT"/>
    <x v="1"/>
    <d v="2024-04-19T00:00:00"/>
    <m/>
    <n v="1256000"/>
    <n v="0"/>
    <s v="Active"/>
    <n v="1"/>
    <x v="3"/>
  </r>
  <r>
    <x v="110"/>
    <x v="625"/>
    <x v="1"/>
    <x v="19"/>
    <s v="Ops Eng"/>
    <s v="Engineering"/>
    <x v="2"/>
    <d v="2020-09-09T00:00:00"/>
    <m/>
    <n v="1258000"/>
    <n v="0.28000000000000003"/>
    <s v="Active"/>
    <n v="5"/>
    <x v="3"/>
  </r>
  <r>
    <x v="575"/>
    <x v="626"/>
    <x v="0"/>
    <x v="0"/>
    <s v="Ops Eng"/>
    <s v="Engineering"/>
    <x v="3"/>
    <d v="2023-11-03T00:00:00"/>
    <m/>
    <n v="1260000"/>
    <n v="0"/>
    <s v="Active"/>
    <n v="2"/>
    <x v="0"/>
  </r>
  <r>
    <x v="576"/>
    <x v="627"/>
    <x v="1"/>
    <x v="1"/>
    <s v="IT Coord"/>
    <s v="IT"/>
    <x v="3"/>
    <d v="2024-04-30T00:00:00"/>
    <m/>
    <n v="1262000"/>
    <n v="0.33"/>
    <s v="Active"/>
    <n v="1"/>
    <x v="1"/>
  </r>
  <r>
    <x v="577"/>
    <x v="628"/>
    <x v="0"/>
    <x v="2"/>
    <s v="Auto Eng"/>
    <s v="Engineering"/>
    <x v="3"/>
    <d v="2020-02-26T00:00:00"/>
    <m/>
    <n v="1264000"/>
    <n v="0"/>
    <s v="Active"/>
    <n v="5"/>
    <x v="0"/>
  </r>
  <r>
    <x v="578"/>
    <x v="629"/>
    <x v="1"/>
    <x v="3"/>
    <s v=" Dev Eng"/>
    <s v="Engineering"/>
    <x v="3"/>
    <d v="2022-09-11T00:00:00"/>
    <d v="2023-05-28T00:00:00"/>
    <n v="1266000"/>
    <n v="0.08"/>
    <s v="Inactive"/>
    <n v="0"/>
    <x v="1"/>
  </r>
  <r>
    <x v="579"/>
    <x v="630"/>
    <x v="1"/>
    <x v="3"/>
    <s v="Sr. Analyst"/>
    <s v="Finance"/>
    <x v="3"/>
    <d v="2023-05-18T00:00:00"/>
    <d v="2024-04-19T00:00:00"/>
    <n v="1268000"/>
    <n v="0.28000000000000003"/>
    <s v="Inactive"/>
    <n v="0"/>
    <x v="1"/>
  </r>
  <r>
    <x v="580"/>
    <x v="631"/>
    <x v="1"/>
    <x v="4"/>
    <s v="Quality Eng"/>
    <s v="Engineering"/>
    <x v="0"/>
    <d v="2021-11-09T00:00:00"/>
    <m/>
    <n v="1270000"/>
    <n v="0.12"/>
    <s v="Active"/>
    <n v="4"/>
    <x v="1"/>
  </r>
  <r>
    <x v="581"/>
    <x v="632"/>
    <x v="1"/>
    <x v="17"/>
    <s v="Ops Eng"/>
    <s v="Engineering"/>
    <x v="1"/>
    <d v="2020-05-12T00:00:00"/>
    <m/>
    <n v="1272000"/>
    <n v="0.28000000000000003"/>
    <s v="Active"/>
    <n v="5"/>
    <x v="3"/>
  </r>
  <r>
    <x v="582"/>
    <x v="633"/>
    <x v="1"/>
    <x v="6"/>
    <s v="Field Eng"/>
    <s v="Engineering"/>
    <x v="3"/>
    <d v="2022-09-11T00:00:00"/>
    <m/>
    <n v="1274000"/>
    <n v="0.39"/>
    <s v="Active"/>
    <n v="3"/>
    <x v="1"/>
  </r>
  <r>
    <x v="583"/>
    <x v="634"/>
    <x v="1"/>
    <x v="7"/>
    <s v="Sr. Analyst"/>
    <s v="Accounting"/>
    <x v="2"/>
    <d v="2022-10-23T00:00:00"/>
    <d v="2024-04-30T00:00:00"/>
    <n v="1276000"/>
    <n v="0"/>
    <s v="Inactive"/>
    <n v="1"/>
    <x v="1"/>
  </r>
  <r>
    <x v="584"/>
    <x v="635"/>
    <x v="0"/>
    <x v="8"/>
    <s v="Net Admin"/>
    <s v="IT"/>
    <x v="3"/>
    <d v="2024-08-23T00:00:00"/>
    <m/>
    <n v="1278000"/>
    <n v="0"/>
    <s v="Active"/>
    <n v="1"/>
    <x v="0"/>
  </r>
  <r>
    <x v="585"/>
    <x v="636"/>
    <x v="1"/>
    <x v="9"/>
    <s v="Sr. Analyst"/>
    <s v="Marketing"/>
    <x v="1"/>
    <d v="2023-11-07T00:00:00"/>
    <d v="2024-05-18T00:00:00"/>
    <n v="1280000"/>
    <n v="0"/>
    <s v="Inactive"/>
    <n v="0"/>
    <x v="3"/>
  </r>
  <r>
    <x v="41"/>
    <x v="637"/>
    <x v="0"/>
    <x v="1"/>
    <s v=" Dev Eng"/>
    <s v="Engineering"/>
    <x v="2"/>
    <d v="2023-10-07T00:00:00"/>
    <m/>
    <n v="1282000"/>
    <n v="0.3"/>
    <s v="Active"/>
    <n v="2"/>
    <x v="1"/>
  </r>
  <r>
    <x v="586"/>
    <x v="638"/>
    <x v="1"/>
    <x v="8"/>
    <s v="Net Admin"/>
    <s v="IT"/>
    <x v="2"/>
    <d v="2022-04-26T00:00:00"/>
    <m/>
    <n v="1284000"/>
    <n v="0.18"/>
    <s v="Active"/>
    <n v="3"/>
    <x v="0"/>
  </r>
  <r>
    <x v="587"/>
    <x v="639"/>
    <x v="1"/>
    <x v="10"/>
    <s v="Field Eng"/>
    <s v="Engineering"/>
    <x v="0"/>
    <d v="2020-02-28T00:00:00"/>
    <d v="2022-09-11T00:00:00"/>
    <n v="1286000"/>
    <n v="0"/>
    <s v="Inactive"/>
    <n v="2"/>
    <x v="2"/>
  </r>
  <r>
    <x v="588"/>
    <x v="640"/>
    <x v="0"/>
    <x v="2"/>
    <s v="Auto Eng"/>
    <s v="Engineering"/>
    <x v="0"/>
    <d v="2020-10-12T00:00:00"/>
    <d v="2023-10-07T00:00:00"/>
    <n v="1288000"/>
    <n v="0.24"/>
    <s v="Inactive"/>
    <n v="2"/>
    <x v="0"/>
  </r>
  <r>
    <x v="589"/>
    <x v="641"/>
    <x v="1"/>
    <x v="0"/>
    <s v=" Dev Eng"/>
    <s v="Engineering"/>
    <x v="1"/>
    <d v="2022-01-27T00:00:00"/>
    <m/>
    <n v="1290000"/>
    <n v="0"/>
    <s v="Active"/>
    <n v="4"/>
    <x v="0"/>
  </r>
  <r>
    <x v="590"/>
    <x v="642"/>
    <x v="1"/>
    <x v="4"/>
    <s v="Sr. Acc Rep"/>
    <s v="Sales"/>
    <x v="0"/>
    <d v="2020-02-15T00:00:00"/>
    <d v="2024-05-28T00:00:00"/>
    <n v="1292000"/>
    <n v="0"/>
    <s v="Inactive"/>
    <n v="4"/>
    <x v="1"/>
  </r>
  <r>
    <x v="591"/>
    <x v="643"/>
    <x v="1"/>
    <x v="11"/>
    <s v="Field Eng"/>
    <s v="Engineering"/>
    <x v="1"/>
    <d v="2024-02-10T00:00:00"/>
    <m/>
    <n v="1294000"/>
    <n v="0"/>
    <s v="Active"/>
    <n v="2"/>
    <x v="0"/>
  </r>
  <r>
    <x v="592"/>
    <x v="644"/>
    <x v="1"/>
    <x v="8"/>
    <s v="Sr. Acc Rep"/>
    <s v="Sales"/>
    <x v="2"/>
    <d v="2020-12-18T00:00:00"/>
    <m/>
    <n v="1296000"/>
    <n v="0"/>
    <s v="Active"/>
    <n v="5"/>
    <x v="0"/>
  </r>
  <r>
    <x v="593"/>
    <x v="645"/>
    <x v="0"/>
    <x v="20"/>
    <s v="Auto Eng"/>
    <s v="Engineering"/>
    <x v="1"/>
    <d v="2020-01-07T00:00:00"/>
    <m/>
    <n v="1298000"/>
    <n v="0.15"/>
    <s v="Active"/>
    <n v="6"/>
    <x v="0"/>
  </r>
  <r>
    <x v="594"/>
    <x v="646"/>
    <x v="1"/>
    <x v="13"/>
    <s v="Auto Eng"/>
    <s v="Engineering"/>
    <x v="2"/>
    <d v="2023-10-07T00:00:00"/>
    <m/>
    <n v="1300000"/>
    <n v="0"/>
    <s v="Active"/>
    <n v="2"/>
    <x v="1"/>
  </r>
  <r>
    <x v="595"/>
    <x v="647"/>
    <x v="0"/>
    <x v="20"/>
    <s v="Sr. Manger"/>
    <s v="Finance"/>
    <x v="2"/>
    <d v="2021-10-18T00:00:00"/>
    <m/>
    <n v="1302000"/>
    <n v="0.26"/>
    <s v="Active"/>
    <n v="4"/>
    <x v="0"/>
  </r>
  <r>
    <x v="596"/>
    <x v="648"/>
    <x v="0"/>
    <x v="13"/>
    <s v="Sr. Manger"/>
    <s v="Marketing"/>
    <x v="1"/>
    <d v="2022-08-18T00:00:00"/>
    <m/>
    <n v="1304000"/>
    <n v="0"/>
    <s v="Active"/>
    <n v="3"/>
    <x v="1"/>
  </r>
  <r>
    <x v="597"/>
    <x v="649"/>
    <x v="0"/>
    <x v="20"/>
    <s v="Sr. Manger"/>
    <s v="Accounting"/>
    <x v="0"/>
    <d v="2024-05-28T00:00:00"/>
    <m/>
    <n v="1306000"/>
    <n v="0.12"/>
    <s v="Active"/>
    <n v="1"/>
    <x v="0"/>
  </r>
  <r>
    <x v="598"/>
    <x v="650"/>
    <x v="0"/>
    <x v="20"/>
    <s v="Quality Eng"/>
    <s v="Engineering"/>
    <x v="3"/>
    <d v="2022-09-07T00:00:00"/>
    <m/>
    <n v="1308000"/>
    <n v="0"/>
    <s v="Active"/>
    <n v="3"/>
    <x v="0"/>
  </r>
  <r>
    <x v="599"/>
    <x v="651"/>
    <x v="1"/>
    <x v="17"/>
    <s v="Sr. Manger"/>
    <s v="Marketing"/>
    <x v="3"/>
    <d v="2024-01-03T00:00:00"/>
    <m/>
    <n v="1310000"/>
    <n v="0"/>
    <s v="Active"/>
    <n v="2"/>
    <x v="3"/>
  </r>
  <r>
    <x v="600"/>
    <x v="652"/>
    <x v="0"/>
    <x v="20"/>
    <s v="IT Coord"/>
    <s v="IT"/>
    <x v="2"/>
    <d v="2023-05-28T00:00:00"/>
    <m/>
    <n v="1312000"/>
    <n v="0"/>
    <s v="Active"/>
    <n v="2"/>
    <x v="0"/>
  </r>
  <r>
    <x v="601"/>
    <x v="653"/>
    <x v="1"/>
    <x v="1"/>
    <s v="Quality Eng"/>
    <s v="Engineering"/>
    <x v="1"/>
    <d v="2023-11-15T00:00:00"/>
    <m/>
    <n v="1314000"/>
    <n v="0.08"/>
    <s v="Active"/>
    <n v="2"/>
    <x v="1"/>
  </r>
  <r>
    <x v="602"/>
    <x v="654"/>
    <x v="0"/>
    <x v="8"/>
    <s v="Quality Eng"/>
    <s v="Engineering"/>
    <x v="2"/>
    <d v="2020-01-21T00:00:00"/>
    <m/>
    <n v="1316000"/>
    <n v="0"/>
    <s v="Active"/>
    <n v="6"/>
    <x v="0"/>
  </r>
  <r>
    <x v="603"/>
    <x v="655"/>
    <x v="1"/>
    <x v="15"/>
    <s v="Ops Eng"/>
    <s v="Engineering"/>
    <x v="0"/>
    <d v="2023-10-07T00:00:00"/>
    <m/>
    <n v="1318000"/>
    <n v="7.0000000000000007E-2"/>
    <s v="Active"/>
    <n v="2"/>
    <x v="1"/>
  </r>
  <r>
    <x v="203"/>
    <x v="656"/>
    <x v="1"/>
    <x v="4"/>
    <s v="IT Coord"/>
    <s v="IT"/>
    <x v="1"/>
    <d v="2024-04-19T00:00:00"/>
    <m/>
    <n v="1320000"/>
    <n v="7.0000000000000007E-2"/>
    <s v="Active"/>
    <n v="1"/>
    <x v="1"/>
  </r>
  <r>
    <x v="604"/>
    <x v="657"/>
    <x v="1"/>
    <x v="8"/>
    <s v="Ops Eng"/>
    <s v="Engineering"/>
    <x v="2"/>
    <d v="2020-09-09T00:00:00"/>
    <m/>
    <n v="1322000"/>
    <n v="0"/>
    <s v="Active"/>
    <n v="5"/>
    <x v="0"/>
  </r>
  <r>
    <x v="605"/>
    <x v="658"/>
    <x v="0"/>
    <x v="17"/>
    <s v="Ops Eng"/>
    <s v="Engineering"/>
    <x v="3"/>
    <d v="2023-11-03T00:00:00"/>
    <m/>
    <n v="1324000"/>
    <n v="0.12"/>
    <s v="Active"/>
    <n v="2"/>
    <x v="3"/>
  </r>
  <r>
    <x v="606"/>
    <x v="659"/>
    <x v="1"/>
    <x v="18"/>
    <s v="IT Coord"/>
    <s v="IT"/>
    <x v="3"/>
    <d v="2024-04-30T00:00:00"/>
    <m/>
    <n v="1326000"/>
    <n v="0"/>
    <s v="Active"/>
    <n v="1"/>
    <x v="3"/>
  </r>
  <r>
    <x v="607"/>
    <x v="660"/>
    <x v="0"/>
    <x v="19"/>
    <s v="Auto Eng"/>
    <s v="Engineering"/>
    <x v="3"/>
    <d v="2020-02-26T00:00:00"/>
    <m/>
    <n v="1328000"/>
    <n v="0.26"/>
    <s v="Active"/>
    <n v="5"/>
    <x v="3"/>
  </r>
  <r>
    <x v="608"/>
    <x v="661"/>
    <x v="1"/>
    <x v="0"/>
    <s v=" Dev Eng"/>
    <s v="Engineering"/>
    <x v="3"/>
    <d v="2022-09-11T00:00:00"/>
    <m/>
    <n v="1330000"/>
    <n v="0.13"/>
    <s v="Active"/>
    <n v="3"/>
    <x v="0"/>
  </r>
  <r>
    <x v="609"/>
    <x v="662"/>
    <x v="1"/>
    <x v="1"/>
    <s v="Sr. Analyst"/>
    <s v="Finance"/>
    <x v="3"/>
    <d v="2024-05-18T00:00:00"/>
    <m/>
    <n v="1332000"/>
    <n v="0"/>
    <s v="Active"/>
    <n v="1"/>
    <x v="1"/>
  </r>
  <r>
    <x v="610"/>
    <x v="663"/>
    <x v="1"/>
    <x v="2"/>
    <s v="Quality Eng"/>
    <s v="Engineering"/>
    <x v="0"/>
    <d v="2021-11-09T00:00:00"/>
    <m/>
    <n v="1334000"/>
    <n v="0"/>
    <s v="Active"/>
    <n v="4"/>
    <x v="0"/>
  </r>
  <r>
    <x v="611"/>
    <x v="664"/>
    <x v="1"/>
    <x v="17"/>
    <s v="Ops Eng"/>
    <s v="Engineering"/>
    <x v="1"/>
    <d v="2020-05-12T00:00:00"/>
    <m/>
    <n v="1336000"/>
    <n v="0.08"/>
    <s v="Active"/>
    <n v="5"/>
    <x v="3"/>
  </r>
  <r>
    <x v="18"/>
    <x v="665"/>
    <x v="1"/>
    <x v="17"/>
    <s v="Field Eng"/>
    <s v="Engineering"/>
    <x v="3"/>
    <d v="2022-09-11T00:00:00"/>
    <m/>
    <n v="1338000"/>
    <n v="0"/>
    <s v="Active"/>
    <n v="3"/>
    <x v="3"/>
  </r>
  <r>
    <x v="612"/>
    <x v="666"/>
    <x v="1"/>
    <x v="4"/>
    <s v="Sr. Analyst"/>
    <s v="Accounting"/>
    <x v="2"/>
    <d v="2022-10-23T00:00:00"/>
    <m/>
    <n v="1340000"/>
    <n v="0.1"/>
    <s v="Active"/>
    <n v="3"/>
    <x v="1"/>
  </r>
  <r>
    <x v="613"/>
    <x v="667"/>
    <x v="0"/>
    <x v="20"/>
    <s v="Net Admin"/>
    <s v="IT"/>
    <x v="3"/>
    <d v="2024-08-23T00:00:00"/>
    <m/>
    <n v="1342000"/>
    <n v="0"/>
    <s v="Active"/>
    <n v="1"/>
    <x v="0"/>
  </r>
  <r>
    <x v="614"/>
    <x v="668"/>
    <x v="1"/>
    <x v="6"/>
    <s v="Sr. Analyst"/>
    <s v="Marketing"/>
    <x v="1"/>
    <d v="2023-11-07T00:00:00"/>
    <m/>
    <n v="1344000"/>
    <n v="0"/>
    <s v="Active"/>
    <n v="2"/>
    <x v="1"/>
  </r>
  <r>
    <x v="615"/>
    <x v="669"/>
    <x v="0"/>
    <x v="7"/>
    <s v=" Dev Eng"/>
    <s v="Engineering"/>
    <x v="2"/>
    <d v="2023-10-07T00:00:00"/>
    <m/>
    <n v="1346000"/>
    <n v="0"/>
    <s v="Active"/>
    <n v="2"/>
    <x v="1"/>
  </r>
  <r>
    <x v="616"/>
    <x v="670"/>
    <x v="1"/>
    <x v="8"/>
    <s v="Net Admin"/>
    <s v="IT"/>
    <x v="2"/>
    <d v="2022-04-26T00:00:00"/>
    <d v="2024-05-28T00:00:00"/>
    <n v="1348000"/>
    <n v="0"/>
    <s v="Inactive"/>
    <n v="2"/>
    <x v="0"/>
  </r>
  <r>
    <x v="617"/>
    <x v="671"/>
    <x v="1"/>
    <x v="9"/>
    <s v="Field Eng"/>
    <s v="Engineering"/>
    <x v="0"/>
    <d v="2020-02-28T00:00:00"/>
    <d v="2023-10-07T00:00:00"/>
    <n v="1350000"/>
    <n v="0"/>
    <s v="Inactive"/>
    <n v="3"/>
    <x v="3"/>
  </r>
  <r>
    <x v="618"/>
    <x v="672"/>
    <x v="0"/>
    <x v="1"/>
    <s v="Auto Eng"/>
    <s v="Engineering"/>
    <x v="0"/>
    <d v="2020-10-12T00:00:00"/>
    <m/>
    <n v="1352000"/>
    <n v="0"/>
    <s v="Active"/>
    <n v="5"/>
    <x v="1"/>
  </r>
  <r>
    <x v="619"/>
    <x v="673"/>
    <x v="1"/>
    <x v="8"/>
    <s v=" Dev Eng"/>
    <s v="Engineering"/>
    <x v="1"/>
    <d v="2022-01-27T00:00:00"/>
    <m/>
    <n v="1354000"/>
    <n v="0"/>
    <s v="Active"/>
    <n v="4"/>
    <x v="0"/>
  </r>
  <r>
    <x v="19"/>
    <x v="674"/>
    <x v="1"/>
    <x v="17"/>
    <s v="Sr. Acc Rep"/>
    <s v="Sales"/>
    <x v="0"/>
    <d v="2024-02-15T00:00:00"/>
    <m/>
    <n v="1356000"/>
    <n v="0"/>
    <s v="Active"/>
    <n v="1"/>
    <x v="3"/>
  </r>
  <r>
    <x v="20"/>
    <x v="675"/>
    <x v="1"/>
    <x v="2"/>
    <s v="Field Eng"/>
    <s v="Engineering"/>
    <x v="1"/>
    <d v="2022-02-10T00:00:00"/>
    <d v="2024-05-28T00:00:00"/>
    <n v="1358000"/>
    <n v="0"/>
    <s v="Inactive"/>
    <n v="2"/>
    <x v="0"/>
  </r>
  <r>
    <x v="620"/>
    <x v="676"/>
    <x v="1"/>
    <x v="0"/>
    <s v="Sr. Acc Rep"/>
    <s v="Sales"/>
    <x v="2"/>
    <d v="2020-12-18T00:00:00"/>
    <m/>
    <n v="1360000"/>
    <n v="0"/>
    <s v="Active"/>
    <n v="5"/>
    <x v="0"/>
  </r>
  <r>
    <x v="21"/>
    <x v="677"/>
    <x v="0"/>
    <x v="4"/>
    <s v="Auto Eng"/>
    <s v="Engineering"/>
    <x v="1"/>
    <d v="2020-01-07T00:00:00"/>
    <m/>
    <n v="1362000"/>
    <n v="0"/>
    <s v="Active"/>
    <n v="6"/>
    <x v="1"/>
  </r>
  <r>
    <x v="621"/>
    <x v="678"/>
    <x v="1"/>
    <x v="11"/>
    <s v="Auto Eng"/>
    <s v="Engineering"/>
    <x v="2"/>
    <d v="2023-10-07T00:00:00"/>
    <m/>
    <n v="1364000"/>
    <n v="0"/>
    <s v="Active"/>
    <n v="2"/>
    <x v="0"/>
  </r>
  <r>
    <x v="622"/>
    <x v="679"/>
    <x v="0"/>
    <x v="8"/>
    <s v="Sr. Manger"/>
    <s v="Finance"/>
    <x v="2"/>
    <d v="2021-10-18T00:00:00"/>
    <m/>
    <n v="1366000"/>
    <n v="0"/>
    <s v="Active"/>
    <n v="4"/>
    <x v="0"/>
  </r>
  <r>
    <x v="623"/>
    <x v="680"/>
    <x v="0"/>
    <x v="12"/>
    <s v="Sr. Manger"/>
    <s v="Marketing"/>
    <x v="1"/>
    <d v="2020-08-18T00:00:00"/>
    <d v="2022-01-03T00:00:00"/>
    <n v="1368000"/>
    <n v="0.06"/>
    <s v="Inactive"/>
    <n v="1"/>
    <x v="2"/>
  </r>
  <r>
    <x v="624"/>
    <x v="681"/>
    <x v="0"/>
    <x v="13"/>
    <s v="Sr. Manger"/>
    <s v="Accounting"/>
    <x v="0"/>
    <d v="2021-05-28T00:00:00"/>
    <d v="2023-05-28T00:00:00"/>
    <n v="1370000"/>
    <n v="0.05"/>
    <s v="Inactive"/>
    <n v="2"/>
    <x v="1"/>
  </r>
  <r>
    <x v="179"/>
    <x v="682"/>
    <x v="0"/>
    <x v="10"/>
    <s v="Quality Eng"/>
    <s v="Engineering"/>
    <x v="3"/>
    <d v="2022-09-07T00:00:00"/>
    <d v="2023-11-15T00:00:00"/>
    <n v="1372000"/>
    <n v="0"/>
    <s v="Inactive"/>
    <n v="1"/>
    <x v="2"/>
  </r>
  <r>
    <x v="625"/>
    <x v="683"/>
    <x v="0"/>
    <x v="13"/>
    <s v="Sr. Manger"/>
    <s v="Marketing"/>
    <x v="3"/>
    <d v="2020-01-03T00:00:00"/>
    <d v="2024-01-21T00:00:00"/>
    <n v="1374000"/>
    <n v="0.13"/>
    <s v="Inactive"/>
    <n v="4"/>
    <x v="1"/>
  </r>
  <r>
    <x v="626"/>
    <x v="684"/>
    <x v="1"/>
    <x v="17"/>
    <s v="IT Coord"/>
    <s v="IT"/>
    <x v="2"/>
    <d v="2023-05-28T00:00:00"/>
    <m/>
    <n v="1376000"/>
    <n v="0.2"/>
    <s v="Active"/>
    <n v="2"/>
    <x v="3"/>
  </r>
  <r>
    <x v="627"/>
    <x v="685"/>
    <x v="0"/>
    <x v="20"/>
    <s v="Quality Eng"/>
    <s v="Engineering"/>
    <x v="1"/>
    <d v="2023-11-15T00:00:00"/>
    <m/>
    <n v="1378000"/>
    <n v="0"/>
    <s v="Active"/>
    <n v="2"/>
    <x v="0"/>
  </r>
  <r>
    <x v="628"/>
    <x v="686"/>
    <x v="1"/>
    <x v="17"/>
    <s v="Quality Eng"/>
    <s v="Engineering"/>
    <x v="2"/>
    <d v="2020-01-21T00:00:00"/>
    <m/>
    <n v="1380000"/>
    <n v="0"/>
    <s v="Active"/>
    <n v="6"/>
    <x v="3"/>
  </r>
  <r>
    <x v="629"/>
    <x v="687"/>
    <x v="0"/>
    <x v="20"/>
    <s v="Ops Eng"/>
    <s v="Engineering"/>
    <x v="0"/>
    <d v="2023-10-07T00:00:00"/>
    <m/>
    <n v="1382000"/>
    <n v="0"/>
    <s v="Active"/>
    <n v="2"/>
    <x v="0"/>
  </r>
  <r>
    <x v="164"/>
    <x v="688"/>
    <x v="1"/>
    <x v="1"/>
    <s v="IT Coord"/>
    <s v="IT"/>
    <x v="1"/>
    <d v="2024-04-19T00:00:00"/>
    <m/>
    <n v="1384000"/>
    <n v="0"/>
    <s v="Active"/>
    <n v="1"/>
    <x v="1"/>
  </r>
  <r>
    <x v="630"/>
    <x v="689"/>
    <x v="1"/>
    <x v="8"/>
    <s v="Ops Eng"/>
    <s v="Engineering"/>
    <x v="2"/>
    <d v="2020-09-09T00:00:00"/>
    <m/>
    <n v="1386000"/>
    <n v="0.09"/>
    <s v="Active"/>
    <n v="5"/>
    <x v="0"/>
  </r>
  <r>
    <x v="631"/>
    <x v="690"/>
    <x v="1"/>
    <x v="15"/>
    <s v="Ops Eng"/>
    <s v="Engineering"/>
    <x v="3"/>
    <d v="2023-11-03T00:00:00"/>
    <m/>
    <n v="1388000"/>
    <n v="0"/>
    <s v="Active"/>
    <n v="2"/>
    <x v="1"/>
  </r>
  <r>
    <x v="28"/>
    <x v="691"/>
    <x v="1"/>
    <x v="17"/>
    <s v="Ops Eng"/>
    <s v="Accounting"/>
    <x v="0"/>
    <d v="2024-05-28T00:00:00"/>
    <m/>
    <n v="1390000"/>
    <n v="0.15"/>
    <s v="Active"/>
    <n v="1"/>
    <x v="3"/>
  </r>
  <r>
    <x v="632"/>
    <x v="692"/>
    <x v="0"/>
    <x v="18"/>
    <s v="IT Coord"/>
    <s v="Engineering"/>
    <x v="3"/>
    <d v="2022-09-07T00:00:00"/>
    <m/>
    <n v="1392000"/>
    <n v="0"/>
    <s v="Active"/>
    <n v="3"/>
    <x v="3"/>
  </r>
  <r>
    <x v="633"/>
    <x v="693"/>
    <x v="1"/>
    <x v="19"/>
    <s v="Auto Eng"/>
    <s v="Marketing"/>
    <x v="3"/>
    <d v="2022-01-03T00:00:00"/>
    <d v="2023-10-07T00:00:00"/>
    <n v="1394000"/>
    <n v="0.26"/>
    <s v="Inactive"/>
    <n v="1"/>
    <x v="3"/>
  </r>
  <r>
    <x v="634"/>
    <x v="694"/>
    <x v="0"/>
    <x v="0"/>
    <s v=" Dev Eng"/>
    <s v="IT"/>
    <x v="2"/>
    <d v="2023-05-28T00:00:00"/>
    <m/>
    <n v="1396000"/>
    <n v="0"/>
    <s v="Active"/>
    <n v="2"/>
    <x v="0"/>
  </r>
  <r>
    <x v="635"/>
    <x v="695"/>
    <x v="1"/>
    <x v="1"/>
    <s v="Sr. Analyst"/>
    <s v="Engineering"/>
    <x v="1"/>
    <d v="2023-11-15T00:00:00"/>
    <m/>
    <n v="1398000"/>
    <n v="0.12"/>
    <s v="Active"/>
    <n v="2"/>
    <x v="1"/>
  </r>
  <r>
    <x v="201"/>
    <x v="696"/>
    <x v="1"/>
    <x v="2"/>
    <s v="Quality Eng"/>
    <s v="Engineering"/>
    <x v="2"/>
    <d v="2020-01-21T00:00:00"/>
    <m/>
    <n v="1400000"/>
    <n v="0"/>
    <s v="Active"/>
    <n v="6"/>
    <x v="0"/>
  </r>
  <r>
    <x v="636"/>
    <x v="697"/>
    <x v="0"/>
    <x v="20"/>
    <s v="Ops Eng"/>
    <s v="Engineering"/>
    <x v="0"/>
    <d v="2023-10-07T00:00:00"/>
    <m/>
    <n v="1402000"/>
    <n v="0"/>
    <s v="Active"/>
    <n v="2"/>
    <x v="0"/>
  </r>
  <r>
    <x v="637"/>
    <x v="698"/>
    <x v="1"/>
    <x v="17"/>
    <s v="Field Eng"/>
    <s v="IT"/>
    <x v="1"/>
    <d v="2024-04-19T00:00:00"/>
    <m/>
    <n v="1404000"/>
    <n v="0"/>
    <s v="Active"/>
    <n v="1"/>
    <x v="3"/>
  </r>
  <r>
    <x v="638"/>
    <x v="699"/>
    <x v="1"/>
    <x v="4"/>
    <s v="Sr. Analyst"/>
    <s v="Engineering"/>
    <x v="2"/>
    <d v="2020-09-09T00:00:00"/>
    <m/>
    <n v="1406000"/>
    <n v="0.08"/>
    <s v="Active"/>
    <n v="5"/>
    <x v="1"/>
  </r>
  <r>
    <x v="614"/>
    <x v="700"/>
    <x v="1"/>
    <x v="17"/>
    <s v="Net Admin"/>
    <s v="Engineering"/>
    <x v="3"/>
    <d v="2023-11-03T00:00:00"/>
    <m/>
    <n v="1408000"/>
    <n v="0"/>
    <s v="Active"/>
    <n v="2"/>
    <x v="3"/>
  </r>
  <r>
    <x v="639"/>
    <x v="701"/>
    <x v="1"/>
    <x v="6"/>
    <s v="Sr. Analyst"/>
    <s v="IT"/>
    <x v="3"/>
    <d v="2024-04-30T00:00:00"/>
    <m/>
    <n v="154892"/>
    <n v="7.0000000000000007E-2"/>
    <s v="Active"/>
    <n v="1"/>
    <x v="1"/>
  </r>
  <r>
    <x v="640"/>
    <x v="702"/>
    <x v="0"/>
    <x v="7"/>
    <s v=" Dev Eng"/>
    <s v="Engineering"/>
    <x v="3"/>
    <d v="2020-02-26T00:00:00"/>
    <m/>
    <n v="243879"/>
    <n v="7.0000000000000007E-2"/>
    <s v="Active"/>
    <n v="5"/>
    <x v="1"/>
  </r>
  <r>
    <x v="641"/>
    <x v="703"/>
    <x v="1"/>
    <x v="8"/>
    <s v="Net Admin"/>
    <s v="Engineering"/>
    <x v="3"/>
    <d v="2022-09-11T00:00:00"/>
    <m/>
    <n v="271490"/>
    <n v="0"/>
    <s v="Active"/>
    <n v="3"/>
    <x v="0"/>
  </r>
  <r>
    <x v="642"/>
    <x v="704"/>
    <x v="0"/>
    <x v="9"/>
    <s v="Field Eng"/>
    <s v="Finance"/>
    <x v="3"/>
    <d v="2024-05-18T00:00:00"/>
    <m/>
    <n v="284760"/>
    <n v="0.12"/>
    <s v="Active"/>
    <n v="1"/>
    <x v="3"/>
  </r>
  <r>
    <x v="643"/>
    <x v="705"/>
    <x v="0"/>
    <x v="1"/>
    <s v="Auto Eng"/>
    <s v="Engineering"/>
    <x v="0"/>
    <d v="2021-11-09T00:00:00"/>
    <m/>
    <n v="519382"/>
    <n v="0"/>
    <s v="Active"/>
    <n v="4"/>
    <x v="1"/>
  </r>
  <r>
    <x v="644"/>
    <x v="706"/>
    <x v="0"/>
    <x v="8"/>
    <s v=" Dev Eng"/>
    <s v="Engineering"/>
    <x v="1"/>
    <d v="2020-05-12T00:00:00"/>
    <m/>
    <n v="371296"/>
    <n v="0.26"/>
    <s v="Active"/>
    <n v="5"/>
    <x v="0"/>
  </r>
  <r>
    <x v="645"/>
    <x v="707"/>
    <x v="0"/>
    <x v="20"/>
    <s v="Sr. Acc Rep"/>
    <s v="Engineering"/>
    <x v="3"/>
    <d v="2022-09-11T00:00:00"/>
    <m/>
    <n v="275439"/>
    <n v="0.13"/>
    <s v="Active"/>
    <n v="3"/>
    <x v="0"/>
  </r>
  <r>
    <x v="646"/>
    <x v="708"/>
    <x v="1"/>
    <x v="2"/>
    <s v="Field Eng"/>
    <s v="Accounting"/>
    <x v="2"/>
    <d v="2022-10-23T00:00:00"/>
    <m/>
    <n v="318902"/>
    <n v="0"/>
    <s v="Active"/>
    <n v="3"/>
    <x v="0"/>
  </r>
  <r>
    <x v="647"/>
    <x v="709"/>
    <x v="0"/>
    <x v="0"/>
    <s v="Sr. Acc Rep"/>
    <s v="IT"/>
    <x v="3"/>
    <d v="2024-08-23T00:00:00"/>
    <m/>
    <n v="364982"/>
    <n v="0"/>
    <s v="Active"/>
    <n v="1"/>
    <x v="0"/>
  </r>
  <r>
    <x v="648"/>
    <x v="710"/>
    <x v="1"/>
    <x v="4"/>
    <s v="Auto Eng"/>
    <s v="Marketing"/>
    <x v="1"/>
    <d v="2023-11-07T00:00:00"/>
    <d v="2024-04-19T00:00:00"/>
    <n v="251398"/>
    <n v="0.08"/>
    <s v="Inactive"/>
    <n v="0"/>
    <x v="1"/>
  </r>
  <r>
    <x v="649"/>
    <x v="711"/>
    <x v="0"/>
    <x v="11"/>
    <s v="Auto Eng"/>
    <s v="Engineering"/>
    <x v="2"/>
    <d v="2023-10-07T00:00:00"/>
    <m/>
    <n v="195478"/>
    <n v="0"/>
    <s v="Active"/>
    <n v="2"/>
    <x v="0"/>
  </r>
  <r>
    <x v="650"/>
    <x v="712"/>
    <x v="1"/>
    <x v="8"/>
    <s v="Sr. Manger"/>
    <s v="IT"/>
    <x v="2"/>
    <d v="2022-04-26T00:00:00"/>
    <m/>
    <n v="367920"/>
    <n v="0.1"/>
    <s v="Active"/>
    <n v="3"/>
    <x v="0"/>
  </r>
  <r>
    <x v="556"/>
    <x v="713"/>
    <x v="1"/>
    <x v="12"/>
    <s v="Sr. Manger"/>
    <s v="Engineering"/>
    <x v="0"/>
    <d v="2020-02-28T00:00:00"/>
    <d v="2022-09-11T00:00:00"/>
    <n v="295274"/>
    <n v="0"/>
    <s v="Inactive"/>
    <n v="2"/>
    <x v="2"/>
  </r>
  <r>
    <x v="651"/>
    <x v="714"/>
    <x v="1"/>
    <x v="13"/>
    <s v="Sr. Manger"/>
    <s v="Engineering"/>
    <x v="0"/>
    <d v="2020-10-12T00:00:00"/>
    <m/>
    <n v="358972"/>
    <n v="0"/>
    <s v="Active"/>
    <n v="5"/>
    <x v="1"/>
  </r>
  <r>
    <x v="652"/>
    <x v="715"/>
    <x v="0"/>
    <x v="17"/>
    <s v="Quality Eng"/>
    <s v="Engineering"/>
    <x v="1"/>
    <d v="2022-01-27T00:00:00"/>
    <m/>
    <n v="310294"/>
    <n v="0"/>
    <s v="Active"/>
    <n v="4"/>
    <x v="3"/>
  </r>
  <r>
    <x v="653"/>
    <x v="716"/>
    <x v="1"/>
    <x v="13"/>
    <s v="Sr. Manger"/>
    <s v="Sales"/>
    <x v="0"/>
    <d v="2024-02-15T00:00:00"/>
    <m/>
    <n v="375480"/>
    <n v="0"/>
    <s v="Active"/>
    <n v="1"/>
    <x v="1"/>
  </r>
  <r>
    <x v="654"/>
    <x v="717"/>
    <x v="0"/>
    <x v="17"/>
    <s v="IT Coord"/>
    <s v="Engineering"/>
    <x v="1"/>
    <d v="2024-02-10T00:00:00"/>
    <m/>
    <n v="253972"/>
    <n v="0"/>
    <s v="Active"/>
    <n v="2"/>
    <x v="3"/>
  </r>
  <r>
    <x v="655"/>
    <x v="718"/>
    <x v="1"/>
    <x v="17"/>
    <s v="Quality Eng"/>
    <s v="Sales"/>
    <x v="2"/>
    <d v="2020-12-18T00:00:00"/>
    <m/>
    <n v="265870"/>
    <n v="0"/>
    <s v="Active"/>
    <n v="5"/>
    <x v="3"/>
  </r>
  <r>
    <x v="656"/>
    <x v="719"/>
    <x v="1"/>
    <x v="17"/>
    <s v="Quality Eng"/>
    <s v="Engineering"/>
    <x v="1"/>
    <d v="2020-01-07T00:00:00"/>
    <m/>
    <n v="154396"/>
    <n v="0"/>
    <s v="Active"/>
    <n v="6"/>
    <x v="3"/>
  </r>
  <r>
    <x v="657"/>
    <x v="720"/>
    <x v="1"/>
    <x v="17"/>
    <s v="Ops Eng"/>
    <s v="Engineering"/>
    <x v="2"/>
    <d v="2023-10-07T00:00:00"/>
    <m/>
    <n v="413290"/>
    <n v="0"/>
    <s v="Active"/>
    <n v="2"/>
    <x v="3"/>
  </r>
  <r>
    <x v="658"/>
    <x v="721"/>
    <x v="1"/>
    <x v="1"/>
    <s v="IT Coord"/>
    <s v="Finance"/>
    <x v="2"/>
    <d v="2021-10-18T00:00:00"/>
    <m/>
    <n v="375420"/>
    <n v="0"/>
    <s v="Active"/>
    <n v="4"/>
    <x v="1"/>
  </r>
  <r>
    <x v="659"/>
    <x v="722"/>
    <x v="1"/>
    <x v="8"/>
    <s v="Ops Eng"/>
    <s v="Marketing"/>
    <x v="1"/>
    <d v="2022-08-18T00:00:00"/>
    <m/>
    <n v="286739"/>
    <n v="0"/>
    <s v="Active"/>
    <n v="3"/>
    <x v="0"/>
  </r>
  <r>
    <x v="660"/>
    <x v="723"/>
    <x v="1"/>
    <x v="15"/>
    <s v="Ops Eng"/>
    <s v="Accounting"/>
    <x v="0"/>
    <d v="2024-05-28T00:00:00"/>
    <m/>
    <n v="295374"/>
    <n v="0"/>
    <s v="Active"/>
    <n v="1"/>
    <x v="1"/>
  </r>
  <r>
    <x v="661"/>
    <x v="724"/>
    <x v="0"/>
    <x v="4"/>
    <s v="IT Coord"/>
    <s v="Engineering"/>
    <x v="3"/>
    <d v="2022-09-07T00:00:00"/>
    <m/>
    <n v="312874"/>
    <n v="0"/>
    <s v="Active"/>
    <n v="3"/>
    <x v="1"/>
  </r>
  <r>
    <x v="662"/>
    <x v="725"/>
    <x v="1"/>
    <x v="8"/>
    <s v="Auto Eng"/>
    <s v="Marketing"/>
    <x v="3"/>
    <d v="2024-01-03T00:00:00"/>
    <m/>
    <n v="350974"/>
    <n v="0"/>
    <s v="Active"/>
    <n v="2"/>
    <x v="0"/>
  </r>
  <r>
    <x v="663"/>
    <x v="726"/>
    <x v="0"/>
    <x v="17"/>
    <s v=" Dev Eng"/>
    <s v="IT"/>
    <x v="2"/>
    <d v="2023-05-28T00:00:00"/>
    <d v="2024-02-15T00:00:00"/>
    <n v="278964"/>
    <n v="0.06"/>
    <s v="Inactive"/>
    <n v="0"/>
    <x v="3"/>
  </r>
  <r>
    <x v="664"/>
    <x v="727"/>
    <x v="1"/>
    <x v="18"/>
    <s v="Sr. Analyst"/>
    <s v="Engineering"/>
    <x v="1"/>
    <d v="2023-11-15T00:00:00"/>
    <d v="2024-01-03T00:00:00"/>
    <n v="543290"/>
    <n v="0.05"/>
    <s v="Inactive"/>
    <n v="0"/>
    <x v="3"/>
  </r>
  <r>
    <x v="665"/>
    <x v="728"/>
    <x v="1"/>
    <x v="19"/>
    <s v="Quality Eng"/>
    <s v="Engineering"/>
    <x v="2"/>
    <d v="2020-01-21T00:00:00"/>
    <d v="2023-10-07T00:00:00"/>
    <n v="415290"/>
    <n v="0"/>
    <s v="Inactive"/>
    <n v="3"/>
    <x v="3"/>
  </r>
  <r>
    <x v="666"/>
    <x v="729"/>
    <x v="0"/>
    <x v="0"/>
    <s v="Ops Eng"/>
    <s v="Engineering"/>
    <x v="0"/>
    <d v="2023-10-07T00:00:00"/>
    <m/>
    <n v="271890"/>
    <n v="0.13"/>
    <s v="Active"/>
    <n v="2"/>
    <x v="0"/>
  </r>
  <r>
    <x v="667"/>
    <x v="730"/>
    <x v="1"/>
    <x v="1"/>
    <s v="Field Eng"/>
    <s v="IT"/>
    <x v="1"/>
    <d v="2024-04-19T00:00:00"/>
    <m/>
    <n v="429871"/>
    <n v="0.2"/>
    <s v="Active"/>
    <n v="1"/>
    <x v="1"/>
  </r>
  <r>
    <x v="668"/>
    <x v="731"/>
    <x v="1"/>
    <x v="2"/>
    <s v="Sr. Analyst"/>
    <s v="Engineering"/>
    <x v="2"/>
    <d v="2020-09-09T00:00:00"/>
    <m/>
    <n v="354782"/>
    <n v="0"/>
    <s v="Active"/>
    <n v="5"/>
    <x v="0"/>
  </r>
  <r>
    <x v="66"/>
    <x v="732"/>
    <x v="1"/>
    <x v="20"/>
    <s v="Net Admin"/>
    <s v="Engineering"/>
    <x v="3"/>
    <d v="2023-11-03T00:00:00"/>
    <m/>
    <n v="415972"/>
    <n v="0"/>
    <s v="Active"/>
    <n v="2"/>
    <x v="0"/>
  </r>
  <r>
    <x v="669"/>
    <x v="733"/>
    <x v="1"/>
    <x v="20"/>
    <s v="Sr. Analyst"/>
    <s v="IT"/>
    <x v="3"/>
    <d v="2024-04-30T00:00:00"/>
    <m/>
    <n v="251472"/>
    <n v="0"/>
    <s v="Active"/>
    <n v="1"/>
    <x v="0"/>
  </r>
  <r>
    <x v="670"/>
    <x v="734"/>
    <x v="0"/>
    <x v="4"/>
    <s v=" Dev Eng"/>
    <s v="Engineering"/>
    <x v="3"/>
    <d v="2020-02-26T00:00:00"/>
    <m/>
    <n v="358974"/>
    <n v="0"/>
    <s v="Inactive"/>
    <n v="5"/>
    <x v="1"/>
  </r>
  <r>
    <x v="671"/>
    <x v="735"/>
    <x v="1"/>
    <x v="20"/>
    <s v="Net Admin"/>
    <s v="Engineering"/>
    <x v="3"/>
    <d v="2022-09-11T00:00:00"/>
    <d v="2023-05-28T00:00:00"/>
    <n v="154928"/>
    <n v="0.09"/>
    <s v="Active"/>
    <n v="0"/>
    <x v="0"/>
  </r>
  <r>
    <x v="672"/>
    <x v="736"/>
    <x v="0"/>
    <x v="6"/>
    <s v="Field Eng"/>
    <s v="Finance"/>
    <x v="3"/>
    <d v="2023-05-18T00:00:00"/>
    <d v="2024-04-19T00:00:00"/>
    <n v="162493"/>
    <n v="0"/>
    <s v="Inactive"/>
    <n v="0"/>
    <x v="1"/>
  </r>
  <r>
    <x v="673"/>
    <x v="737"/>
    <x v="0"/>
    <x v="7"/>
    <s v="Auto Eng"/>
    <s v="Engineering"/>
    <x v="0"/>
    <d v="2021-11-09T00:00:00"/>
    <m/>
    <n v="364972"/>
    <n v="0.15"/>
    <s v="Active"/>
    <n v="4"/>
    <x v="1"/>
  </r>
  <r>
    <x v="674"/>
    <x v="738"/>
    <x v="0"/>
    <x v="8"/>
    <s v=" Dev Eng"/>
    <s v="Engineering"/>
    <x v="1"/>
    <d v="2020-05-12T00:00:00"/>
    <m/>
    <n v="154873"/>
    <n v="0"/>
    <s v="Active"/>
    <n v="5"/>
    <x v="0"/>
  </r>
  <r>
    <x v="675"/>
    <x v="739"/>
    <x v="0"/>
    <x v="9"/>
    <s v="Sr. Acc Rep"/>
    <s v="Engineering"/>
    <x v="3"/>
    <d v="2022-09-11T00:00:00"/>
    <m/>
    <n v="347920"/>
    <n v="0.26"/>
    <s v="Active"/>
    <n v="3"/>
    <x v="3"/>
  </r>
  <r>
    <x v="676"/>
    <x v="740"/>
    <x v="0"/>
    <x v="1"/>
    <s v="Field Eng"/>
    <s v="Accounting"/>
    <x v="2"/>
    <d v="2022-10-23T00:00:00"/>
    <d v="2024-04-30T00:00:00"/>
    <n v="371928"/>
    <n v="0"/>
    <s v="Inactive"/>
    <n v="1"/>
    <x v="1"/>
  </r>
  <r>
    <x v="677"/>
    <x v="741"/>
    <x v="1"/>
    <x v="8"/>
    <s v="Sr. Acc Rep"/>
    <s v="IT"/>
    <x v="3"/>
    <d v="2024-08-23T00:00:00"/>
    <m/>
    <n v="283794"/>
    <n v="0.12"/>
    <s v="Active"/>
    <n v="1"/>
    <x v="0"/>
  </r>
  <r>
    <x v="678"/>
    <x v="742"/>
    <x v="0"/>
    <x v="10"/>
    <s v="Auto Eng"/>
    <s v="Marketing"/>
    <x v="1"/>
    <d v="2023-11-07T00:00:00"/>
    <d v="2024-05-18T00:00:00"/>
    <n v="254983"/>
    <n v="0"/>
    <s v="Inactive"/>
    <n v="0"/>
    <x v="2"/>
  </r>
  <r>
    <x v="679"/>
    <x v="743"/>
    <x v="1"/>
    <x v="20"/>
    <s v="Auto Eng"/>
    <s v="Engineering"/>
    <x v="2"/>
    <d v="2023-10-07T00:00:00"/>
    <m/>
    <n v="145972"/>
    <n v="0"/>
    <s v="Active"/>
    <n v="2"/>
    <x v="0"/>
  </r>
  <r>
    <x v="680"/>
    <x v="744"/>
    <x v="0"/>
    <x v="0"/>
    <s v="Sr. Manger"/>
    <s v="IT"/>
    <x v="2"/>
    <d v="2022-04-26T00:00:00"/>
    <m/>
    <n v="306491"/>
    <n v="0"/>
    <s v="Active"/>
    <n v="3"/>
    <x v="0"/>
  </r>
  <r>
    <x v="681"/>
    <x v="745"/>
    <x v="1"/>
    <x v="4"/>
    <s v="Sr. Manger"/>
    <s v="Engineering"/>
    <x v="0"/>
    <d v="2020-02-28T00:00:00"/>
    <d v="2022-09-11T00:00:00"/>
    <n v="290478"/>
    <n v="0.08"/>
    <s v="Inactive"/>
    <n v="2"/>
    <x v="1"/>
  </r>
  <r>
    <x v="682"/>
    <x v="746"/>
    <x v="1"/>
    <x v="11"/>
    <s v="Sr. Manger"/>
    <s v="Engineering"/>
    <x v="0"/>
    <d v="2020-10-12T00:00:00"/>
    <d v="2023-10-07T00:00:00"/>
    <n v="374820"/>
    <n v="0"/>
    <s v="Inactive"/>
    <n v="2"/>
    <x v="0"/>
  </r>
  <r>
    <x v="683"/>
    <x v="747"/>
    <x v="1"/>
    <x v="20"/>
    <s v="Quality Eng"/>
    <s v="Engineering"/>
    <x v="1"/>
    <d v="2022-01-27T00:00:00"/>
    <m/>
    <n v="367394"/>
    <n v="7.0000000000000007E-2"/>
    <s v="Active"/>
    <n v="4"/>
    <x v="0"/>
  </r>
  <r>
    <x v="684"/>
    <x v="748"/>
    <x v="0"/>
    <x v="12"/>
    <s v="Sr. Manger"/>
    <s v="Sales"/>
    <x v="0"/>
    <d v="2020-02-15T00:00:00"/>
    <d v="2024-05-28T00:00:00"/>
    <n v="416273"/>
    <n v="7.0000000000000007E-2"/>
    <s v="Inactive"/>
    <n v="4"/>
    <x v="2"/>
  </r>
  <r>
    <x v="685"/>
    <x v="749"/>
    <x v="1"/>
    <x v="13"/>
    <s v="IT Coord"/>
    <s v="Engineering"/>
    <x v="1"/>
    <d v="2024-02-10T00:00:00"/>
    <m/>
    <n v="320879"/>
    <n v="0"/>
    <s v="Active"/>
    <n v="2"/>
    <x v="1"/>
  </r>
  <r>
    <x v="402"/>
    <x v="750"/>
    <x v="0"/>
    <x v="17"/>
    <s v="Quality Eng"/>
    <s v="Sales"/>
    <x v="2"/>
    <d v="2020-12-18T00:00:00"/>
    <m/>
    <n v="290376"/>
    <n v="0.12"/>
    <s v="Active"/>
    <n v="5"/>
    <x v="3"/>
  </r>
  <r>
    <x v="686"/>
    <x v="751"/>
    <x v="1"/>
    <x v="13"/>
    <s v="Quality Eng"/>
    <s v="Engineering"/>
    <x v="1"/>
    <d v="2020-01-07T00:00:00"/>
    <m/>
    <n v="416920"/>
    <n v="0"/>
    <s v="Active"/>
    <n v="6"/>
    <x v="1"/>
  </r>
  <r>
    <x v="497"/>
    <x v="752"/>
    <x v="1"/>
    <x v="20"/>
    <s v="Ops Eng"/>
    <s v="Engineering"/>
    <x v="2"/>
    <d v="2023-10-07T00:00:00"/>
    <m/>
    <n v="527380"/>
    <n v="0.26"/>
    <s v="Active"/>
    <n v="2"/>
    <x v="0"/>
  </r>
  <r>
    <x v="595"/>
    <x v="753"/>
    <x v="1"/>
    <x v="20"/>
    <s v="IT Coord"/>
    <s v="Finance"/>
    <x v="2"/>
    <d v="2021-10-18T00:00:00"/>
    <m/>
    <n v="154927"/>
    <n v="0.13"/>
    <s v="Active"/>
    <n v="4"/>
    <x v="0"/>
  </r>
  <r>
    <x v="687"/>
    <x v="754"/>
    <x v="1"/>
    <x v="14"/>
    <s v="Ops Eng"/>
    <s v="Marketing"/>
    <x v="1"/>
    <d v="2022-08-18T00:00:00"/>
    <d v="2024-02-15T00:00:00"/>
    <n v="263479"/>
    <n v="0"/>
    <s v="Inactive"/>
    <n v="1"/>
    <x v="2"/>
  </r>
  <r>
    <x v="688"/>
    <x v="755"/>
    <x v="1"/>
    <x v="3"/>
    <s v="Ops Eng"/>
    <s v="Accounting"/>
    <x v="0"/>
    <d v="2020-05-28T00:00:00"/>
    <d v="2024-01-03T00:00:00"/>
    <n v="278394"/>
    <n v="0"/>
    <s v="Inactive"/>
    <n v="3"/>
    <x v="1"/>
  </r>
  <r>
    <x v="481"/>
    <x v="756"/>
    <x v="1"/>
    <x v="1"/>
    <s v="IT Coord"/>
    <s v="Engineering"/>
    <x v="3"/>
    <d v="2022-09-07T00:00:00"/>
    <d v="2023-10-07T00:00:00"/>
    <n v="253478"/>
    <n v="0.08"/>
    <s v="Inactive"/>
    <n v="1"/>
    <x v="1"/>
  </r>
  <r>
    <x v="689"/>
    <x v="757"/>
    <x v="0"/>
    <x v="8"/>
    <s v="Auto Eng"/>
    <s v="Marketing"/>
    <x v="3"/>
    <d v="2022-01-03T00:00:00"/>
    <d v="2023-05-28T00:00:00"/>
    <n v="254970"/>
    <n v="0"/>
    <s v="Inactive"/>
    <n v="1"/>
    <x v="0"/>
  </r>
  <r>
    <x v="690"/>
    <x v="758"/>
    <x v="1"/>
    <x v="15"/>
    <s v=" Dev Eng"/>
    <s v="IT"/>
    <x v="2"/>
    <d v="2023-05-28T00:00:00"/>
    <d v="2024-04-19T00:00:00"/>
    <n v="348920"/>
    <n v="0.1"/>
    <s v="Inactive"/>
    <n v="0"/>
    <x v="1"/>
  </r>
  <r>
    <x v="29"/>
    <x v="759"/>
    <x v="0"/>
    <x v="17"/>
    <s v="Sr. Analyst"/>
    <s v="Engineering"/>
    <x v="1"/>
    <d v="2023-11-15T00:00:00"/>
    <d v="2024-04-30T00:00:00"/>
    <n v="290379"/>
    <n v="0"/>
    <s v="Inactive"/>
    <n v="0"/>
    <x v="3"/>
  </r>
  <r>
    <x v="691"/>
    <x v="760"/>
    <x v="1"/>
    <x v="18"/>
    <s v="Quality Eng"/>
    <s v="Engineering"/>
    <x v="2"/>
    <d v="2020-01-21T00:00:00"/>
    <d v="2024-05-18T00:00:00"/>
    <n v="315490"/>
    <n v="0"/>
    <s v="Inactive"/>
    <n v="4"/>
    <x v="3"/>
  </r>
  <r>
    <x v="692"/>
    <x v="761"/>
    <x v="1"/>
    <x v="19"/>
    <s v="Ops Eng"/>
    <s v="Engineering"/>
    <x v="0"/>
    <d v="2021-10-07T00:00:00"/>
    <d v="2022-09-11T00:00:00"/>
    <n v="172398"/>
    <n v="0"/>
    <s v="Inactive"/>
    <n v="0"/>
    <x v="3"/>
  </r>
  <r>
    <x v="30"/>
    <x v="762"/>
    <x v="0"/>
    <x v="0"/>
    <s v="Field Eng"/>
    <s v="IT"/>
    <x v="1"/>
    <d v="2020-04-19T00:00:00"/>
    <d v="2023-10-07T00:00:00"/>
    <n v="310274"/>
    <n v="0"/>
    <s v="Inactive"/>
    <n v="3"/>
    <x v="0"/>
  </r>
  <r>
    <x v="693"/>
    <x v="763"/>
    <x v="1"/>
    <x v="1"/>
    <s v="Sr. Analyst"/>
    <s v="Engineering"/>
    <x v="2"/>
    <d v="2020-09-09T00:00:00"/>
    <d v="2024-05-28T00:00:00"/>
    <n v="371486"/>
    <n v="0"/>
    <s v="Inactive"/>
    <n v="3"/>
    <x v="1"/>
  </r>
  <r>
    <x v="694"/>
    <x v="764"/>
    <x v="1"/>
    <x v="20"/>
    <s v="Net Admin"/>
    <s v="Engineering"/>
    <x v="3"/>
    <d v="2023-11-03T00:00:00"/>
    <m/>
    <n v="164920"/>
    <n v="0"/>
    <s v="Active"/>
    <n v="2"/>
    <x v="0"/>
  </r>
  <r>
    <x v="695"/>
    <x v="765"/>
    <x v="1"/>
    <x v="20"/>
    <s v="Sr. Analyst"/>
    <s v="IT"/>
    <x v="3"/>
    <d v="2024-04-30T00:00:00"/>
    <m/>
    <n v="274893"/>
    <n v="0"/>
    <s v="Active"/>
    <n v="1"/>
    <x v="0"/>
  </r>
  <r>
    <x v="696"/>
    <x v="766"/>
    <x v="1"/>
    <x v="20"/>
    <s v=" Dev Eng"/>
    <s v="Engineering"/>
    <x v="3"/>
    <d v="2020-02-26T00:00:00"/>
    <m/>
    <n v="293476"/>
    <n v="0"/>
    <s v="Active"/>
    <n v="5"/>
    <x v="0"/>
  </r>
  <r>
    <x v="697"/>
    <x v="767"/>
    <x v="0"/>
    <x v="4"/>
    <s v="Net Admin"/>
    <s v="Engineering"/>
    <x v="3"/>
    <d v="2022-09-11T00:00:00"/>
    <m/>
    <n v="315278"/>
    <n v="0"/>
    <s v="Active"/>
    <n v="3"/>
    <x v="1"/>
  </r>
  <r>
    <x v="698"/>
    <x v="768"/>
    <x v="1"/>
    <x v="20"/>
    <s v="Field Eng"/>
    <s v="Finance"/>
    <x v="3"/>
    <d v="2024-05-18T00:00:00"/>
    <m/>
    <n v="241879"/>
    <n v="0"/>
    <s v="Active"/>
    <n v="1"/>
    <x v="0"/>
  </r>
  <r>
    <x v="699"/>
    <x v="769"/>
    <x v="0"/>
    <x v="6"/>
    <s v="Auto Eng"/>
    <s v="Engineering"/>
    <x v="0"/>
    <d v="2021-11-09T00:00:00"/>
    <m/>
    <n v="153928"/>
    <n v="0"/>
    <s v="Active"/>
    <n v="4"/>
    <x v="1"/>
  </r>
  <r>
    <x v="327"/>
    <x v="770"/>
    <x v="0"/>
    <x v="7"/>
    <s v=" Dev Eng"/>
    <s v="Engineering"/>
    <x v="1"/>
    <d v="2020-05-12T00:00:00"/>
    <m/>
    <n v="520294"/>
    <n v="0"/>
    <s v="Active"/>
    <n v="5"/>
    <x v="1"/>
  </r>
  <r>
    <x v="700"/>
    <x v="771"/>
    <x v="0"/>
    <x v="8"/>
    <s v="Sr. Acc Rep"/>
    <s v="Engineering"/>
    <x v="3"/>
    <d v="2022-09-11T00:00:00"/>
    <m/>
    <n v="146279"/>
    <n v="0"/>
    <s v="Active"/>
    <n v="3"/>
    <x v="0"/>
  </r>
  <r>
    <x v="630"/>
    <x v="772"/>
    <x v="0"/>
    <x v="9"/>
    <s v="Field Eng"/>
    <s v="Accounting"/>
    <x v="2"/>
    <d v="2022-10-23T00:00:00"/>
    <m/>
    <n v="357490"/>
    <n v="0.06"/>
    <s v="Active"/>
    <n v="3"/>
    <x v="3"/>
  </r>
  <r>
    <x v="701"/>
    <x v="773"/>
    <x v="1"/>
    <x v="1"/>
    <s v="Sr. Acc Rep"/>
    <s v="IT"/>
    <x v="3"/>
    <d v="2024-08-23T00:00:00"/>
    <m/>
    <n v="350927"/>
    <n v="0.05"/>
    <s v="Active"/>
    <n v="1"/>
    <x v="1"/>
  </r>
  <r>
    <x v="702"/>
    <x v="774"/>
    <x v="0"/>
    <x v="8"/>
    <s v="Auto Eng"/>
    <s v="Marketing"/>
    <x v="1"/>
    <d v="2023-11-07T00:00:00"/>
    <m/>
    <n v="216478"/>
    <n v="0"/>
    <s v="Active"/>
    <n v="2"/>
    <x v="0"/>
  </r>
  <r>
    <x v="703"/>
    <x v="775"/>
    <x v="1"/>
    <x v="20"/>
    <s v="Auto Eng"/>
    <s v="Engineering"/>
    <x v="2"/>
    <d v="2023-10-07T00:00:00"/>
    <m/>
    <n v="354979"/>
    <n v="0.13"/>
    <s v="Active"/>
    <n v="2"/>
    <x v="0"/>
  </r>
  <r>
    <x v="704"/>
    <x v="776"/>
    <x v="0"/>
    <x v="2"/>
    <s v="Sr. Manger"/>
    <s v="IT"/>
    <x v="2"/>
    <d v="2022-04-26T00:00:00"/>
    <d v="2024-05-28T00:00:00"/>
    <n v="372960"/>
    <n v="0.2"/>
    <s v="Inactive"/>
    <n v="2"/>
    <x v="0"/>
  </r>
  <r>
    <x v="705"/>
    <x v="777"/>
    <x v="1"/>
    <x v="0"/>
    <s v="Sr. Manger"/>
    <s v="Engineering"/>
    <x v="0"/>
    <d v="2020-02-28T00:00:00"/>
    <d v="2023-10-07T00:00:00"/>
    <n v="315479"/>
    <n v="0"/>
    <s v="Inactive"/>
    <n v="3"/>
    <x v="0"/>
  </r>
  <r>
    <x v="706"/>
    <x v="778"/>
    <x v="1"/>
    <x v="4"/>
    <s v="Sr. Manger"/>
    <s v="Engineering"/>
    <x v="0"/>
    <d v="2020-10-12T00:00:00"/>
    <m/>
    <n v="284769"/>
    <n v="0"/>
    <s v="Active"/>
    <n v="5"/>
    <x v="1"/>
  </r>
  <r>
    <x v="42"/>
    <x v="779"/>
    <x v="1"/>
    <x v="11"/>
    <s v="Quality Eng"/>
    <s v="Engineering"/>
    <x v="1"/>
    <d v="2022-01-27T00:00:00"/>
    <m/>
    <n v="467829"/>
    <n v="0"/>
    <s v="Active"/>
    <n v="4"/>
    <x v="0"/>
  </r>
  <r>
    <x v="31"/>
    <x v="780"/>
    <x v="0"/>
    <x v="8"/>
    <s v="Sr. Manger"/>
    <s v="Sales"/>
    <x v="0"/>
    <d v="2024-02-15T00:00:00"/>
    <m/>
    <n v="325780"/>
    <n v="0"/>
    <s v="Active"/>
    <n v="1"/>
    <x v="0"/>
  </r>
  <r>
    <x v="707"/>
    <x v="781"/>
    <x v="1"/>
    <x v="12"/>
    <s v="IT Coord"/>
    <s v="Engineering"/>
    <x v="1"/>
    <d v="2022-02-10T00:00:00"/>
    <d v="2024-05-28T00:00:00"/>
    <n v="203948"/>
    <n v="0.09"/>
    <s v="Inactive"/>
    <n v="2"/>
    <x v="2"/>
  </r>
  <r>
    <x v="708"/>
    <x v="782"/>
    <x v="0"/>
    <x v="13"/>
    <s v="Quality Eng"/>
    <s v="Sales"/>
    <x v="2"/>
    <d v="2020-12-18T00:00:00"/>
    <m/>
    <n v="275394"/>
    <n v="0"/>
    <s v="Active"/>
    <n v="5"/>
    <x v="1"/>
  </r>
  <r>
    <x v="709"/>
    <x v="783"/>
    <x v="1"/>
    <x v="20"/>
    <s v="Quality Eng"/>
    <s v="Engineering"/>
    <x v="1"/>
    <d v="2020-01-07T00:00:00"/>
    <m/>
    <n v="241896"/>
    <n v="0.15"/>
    <s v="Active"/>
    <n v="6"/>
    <x v="0"/>
  </r>
  <r>
    <x v="710"/>
    <x v="784"/>
    <x v="1"/>
    <x v="13"/>
    <s v="Ops Eng"/>
    <s v="Engineering"/>
    <x v="2"/>
    <d v="2023-10-07T00:00:00"/>
    <m/>
    <n v="314920"/>
    <n v="0"/>
    <s v="Active"/>
    <n v="2"/>
    <x v="1"/>
  </r>
  <r>
    <x v="393"/>
    <x v="785"/>
    <x v="1"/>
    <x v="20"/>
    <s v="IT Coord"/>
    <s v="Finance"/>
    <x v="2"/>
    <d v="2021-10-18T00:00:00"/>
    <m/>
    <n v="245973"/>
    <n v="0.26"/>
    <s v="Active"/>
    <n v="4"/>
    <x v="0"/>
  </r>
  <r>
    <x v="711"/>
    <x v="786"/>
    <x v="1"/>
    <x v="20"/>
    <s v="Ops Eng"/>
    <s v="Marketing"/>
    <x v="1"/>
    <d v="2022-08-18T00:00:00"/>
    <m/>
    <n v="186470"/>
    <n v="0"/>
    <s v="Active"/>
    <n v="3"/>
    <x v="0"/>
  </r>
  <r>
    <x v="712"/>
    <x v="787"/>
    <x v="1"/>
    <x v="20"/>
    <s v="Ops Eng"/>
    <s v="Accounting"/>
    <x v="0"/>
    <d v="2024-05-28T00:00:00"/>
    <m/>
    <n v="162398"/>
    <n v="0.12"/>
    <s v="Active"/>
    <n v="1"/>
    <x v="0"/>
  </r>
  <r>
    <x v="713"/>
    <x v="788"/>
    <x v="1"/>
    <x v="20"/>
    <s v="IT Coord"/>
    <s v="Engineering"/>
    <x v="3"/>
    <d v="2022-09-07T00:00:00"/>
    <m/>
    <n v="371972"/>
    <n v="0"/>
    <s v="Active"/>
    <n v="3"/>
    <x v="0"/>
  </r>
  <r>
    <x v="714"/>
    <x v="789"/>
    <x v="0"/>
    <x v="1"/>
    <s v="Auto Eng"/>
    <s v="Marketing"/>
    <x v="3"/>
    <d v="2024-01-03T00:00:00"/>
    <m/>
    <n v="270384"/>
    <n v="0"/>
    <s v="Active"/>
    <n v="2"/>
    <x v="1"/>
  </r>
  <r>
    <x v="715"/>
    <x v="790"/>
    <x v="1"/>
    <x v="20"/>
    <s v=" Dev Eng"/>
    <s v="IT"/>
    <x v="2"/>
    <d v="2023-05-28T00:00:00"/>
    <m/>
    <n v="174290"/>
    <n v="0"/>
    <s v="Active"/>
    <n v="2"/>
    <x v="0"/>
  </r>
  <r>
    <x v="716"/>
    <x v="791"/>
    <x v="0"/>
    <x v="15"/>
    <s v="Sr. Analyst"/>
    <s v="Engineering"/>
    <x v="1"/>
    <d v="2023-11-15T00:00:00"/>
    <m/>
    <n v="126492"/>
    <n v="0.08"/>
    <s v="Active"/>
    <n v="2"/>
    <x v="1"/>
  </r>
  <r>
    <x v="717"/>
    <x v="792"/>
    <x v="2"/>
    <x v="21"/>
    <m/>
    <m/>
    <x v="4"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60CF9-BEC5-4197-95AF-D9469A7BBA3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3:D29" firstHeaderRow="1" firstDataRow="2" firstDataCol="1"/>
  <pivotFields count="14">
    <pivotField dataField="1" showAll="0">
      <items count="719">
        <item x="707"/>
        <item x="95"/>
        <item x="512"/>
        <item x="581"/>
        <item x="241"/>
        <item x="471"/>
        <item x="247"/>
        <item x="133"/>
        <item x="445"/>
        <item x="470"/>
        <item x="484"/>
        <item x="45"/>
        <item x="421"/>
        <item x="207"/>
        <item x="30"/>
        <item x="103"/>
        <item x="112"/>
        <item x="404"/>
        <item x="427"/>
        <item x="442"/>
        <item x="706"/>
        <item x="506"/>
        <item x="110"/>
        <item x="232"/>
        <item x="332"/>
        <item x="538"/>
        <item x="239"/>
        <item x="562"/>
        <item x="317"/>
        <item x="428"/>
        <item x="651"/>
        <item x="163"/>
        <item x="221"/>
        <item x="51"/>
        <item x="297"/>
        <item x="415"/>
        <item x="242"/>
        <item x="203"/>
        <item x="688"/>
        <item x="630"/>
        <item x="105"/>
        <item x="287"/>
        <item x="521"/>
        <item x="623"/>
        <item x="434"/>
        <item x="385"/>
        <item x="362"/>
        <item x="330"/>
        <item x="455"/>
        <item x="281"/>
        <item x="55"/>
        <item x="323"/>
        <item x="359"/>
        <item x="435"/>
        <item x="627"/>
        <item x="56"/>
        <item x="92"/>
        <item x="296"/>
        <item x="61"/>
        <item x="306"/>
        <item x="39"/>
        <item x="63"/>
        <item x="71"/>
        <item x="675"/>
        <item x="634"/>
        <item x="392"/>
        <item x="280"/>
        <item x="695"/>
        <item x="188"/>
        <item x="584"/>
        <item x="345"/>
        <item x="284"/>
        <item x="34"/>
        <item x="611"/>
        <item x="26"/>
        <item x="341"/>
        <item x="624"/>
        <item x="117"/>
        <item x="170"/>
        <item x="99"/>
        <item x="543"/>
        <item x="139"/>
        <item x="649"/>
        <item x="367"/>
        <item x="514"/>
        <item x="286"/>
        <item x="689"/>
        <item x="138"/>
        <item x="648"/>
        <item x="465"/>
        <item x="64"/>
        <item x="566"/>
        <item x="21"/>
        <item x="423"/>
        <item x="181"/>
        <item x="353"/>
        <item x="585"/>
        <item x="534"/>
        <item x="620"/>
        <item x="669"/>
        <item x="672"/>
        <item x="632"/>
        <item x="384"/>
        <item x="46"/>
        <item x="629"/>
        <item x="150"/>
        <item x="135"/>
        <item x="612"/>
        <item x="700"/>
        <item x="81"/>
        <item x="165"/>
        <item x="33"/>
        <item x="272"/>
        <item x="482"/>
        <item x="472"/>
        <item x="167"/>
        <item x="32"/>
        <item x="556"/>
        <item x="175"/>
        <item x="209"/>
        <item x="414"/>
        <item x="616"/>
        <item x="162"/>
        <item x="402"/>
        <item x="157"/>
        <item x="430"/>
        <item x="701"/>
        <item x="316"/>
        <item x="47"/>
        <item x="576"/>
        <item x="218"/>
        <item x="122"/>
        <item x="495"/>
        <item x="248"/>
        <item x="447"/>
        <item x="318"/>
        <item x="327"/>
        <item x="214"/>
        <item x="451"/>
        <item x="645"/>
        <item x="219"/>
        <item x="141"/>
        <item x="656"/>
        <item x="326"/>
        <item x="185"/>
        <item x="542"/>
        <item x="53"/>
        <item x="143"/>
        <item x="644"/>
        <item x="604"/>
        <item x="636"/>
        <item x="575"/>
        <item x="29"/>
        <item x="116"/>
        <item x="390"/>
        <item x="65"/>
        <item x="222"/>
        <item x="591"/>
        <item x="643"/>
        <item x="160"/>
        <item x="351"/>
        <item x="149"/>
        <item x="379"/>
        <item x="231"/>
        <item x="198"/>
        <item x="454"/>
        <item x="530"/>
        <item x="357"/>
        <item x="522"/>
        <item x="233"/>
        <item x="100"/>
        <item x="466"/>
        <item x="276"/>
        <item x="376"/>
        <item x="285"/>
        <item x="127"/>
        <item x="712"/>
        <item x="469"/>
        <item x="73"/>
        <item x="601"/>
        <item x="202"/>
        <item x="228"/>
        <item x="59"/>
        <item x="375"/>
        <item x="342"/>
        <item x="41"/>
        <item x="62"/>
        <item x="76"/>
        <item x="453"/>
        <item x="206"/>
        <item x="599"/>
        <item x="215"/>
        <item x="274"/>
        <item x="179"/>
        <item x="184"/>
        <item x="658"/>
        <item x="234"/>
        <item x="680"/>
        <item x="639"/>
        <item x="664"/>
        <item x="294"/>
        <item x="335"/>
        <item x="145"/>
        <item x="488"/>
        <item x="489"/>
        <item x="313"/>
        <item x="78"/>
        <item x="615"/>
        <item x="243"/>
        <item x="525"/>
        <item x="180"/>
        <item x="226"/>
        <item x="618"/>
        <item x="650"/>
        <item x="416"/>
        <item x="479"/>
        <item x="111"/>
        <item x="68"/>
        <item x="583"/>
        <item x="561"/>
        <item x="268"/>
        <item x="364"/>
        <item x="186"/>
        <item x="174"/>
        <item x="497"/>
        <item x="438"/>
        <item x="44"/>
        <item x="126"/>
        <item x="58"/>
        <item x="417"/>
        <item x="54"/>
        <item x="119"/>
        <item x="48"/>
        <item x="142"/>
        <item x="709"/>
        <item x="153"/>
        <item x="682"/>
        <item x="146"/>
        <item x="259"/>
        <item x="87"/>
        <item x="574"/>
        <item x="655"/>
        <item x="491"/>
        <item x="25"/>
        <item x="204"/>
        <item x="18"/>
        <item x="344"/>
        <item x="537"/>
        <item x="102"/>
        <item x="528"/>
        <item x="668"/>
        <item x="517"/>
        <item x="545"/>
        <item x="678"/>
        <item x="277"/>
        <item x="452"/>
        <item x="370"/>
        <item x="498"/>
        <item x="224"/>
        <item x="536"/>
        <item x="0"/>
        <item x="628"/>
        <item x="425"/>
        <item x="211"/>
        <item x="439"/>
        <item x="614"/>
        <item x="263"/>
        <item x="267"/>
        <item x="714"/>
        <item x="216"/>
        <item x="308"/>
        <item x="617"/>
        <item x="420"/>
        <item x="468"/>
        <item x="557"/>
        <item x="191"/>
        <item x="312"/>
        <item x="374"/>
        <item x="178"/>
        <item x="527"/>
        <item x="613"/>
        <item x="86"/>
        <item x="348"/>
        <item x="602"/>
        <item x="193"/>
        <item x="626"/>
        <item x="269"/>
        <item x="363"/>
        <item x="661"/>
        <item x="240"/>
        <item x="533"/>
        <item x="564"/>
        <item x="237"/>
        <item x="493"/>
        <item x="113"/>
        <item x="475"/>
        <item x="354"/>
        <item x="36"/>
        <item x="173"/>
        <item x="446"/>
        <item x="300"/>
        <item x="251"/>
        <item x="642"/>
        <item x="52"/>
        <item x="486"/>
        <item x="166"/>
        <item x="429"/>
        <item x="303"/>
        <item x="413"/>
        <item x="705"/>
        <item x="550"/>
        <item x="647"/>
        <item x="666"/>
        <item x="151"/>
        <item x="692"/>
        <item x="189"/>
        <item x="631"/>
        <item x="252"/>
        <item x="128"/>
        <item x="567"/>
        <item x="22"/>
        <item x="27"/>
        <item x="609"/>
        <item x="123"/>
        <item x="331"/>
        <item x="213"/>
        <item x="381"/>
        <item x="569"/>
        <item x="607"/>
        <item x="698"/>
        <item x="443"/>
        <item x="91"/>
        <item x="159"/>
        <item x="394"/>
        <item x="676"/>
        <item x="608"/>
        <item x="235"/>
        <item x="582"/>
        <item x="361"/>
        <item x="169"/>
        <item x="603"/>
        <item x="571"/>
        <item x="28"/>
        <item x="104"/>
        <item x="463"/>
        <item x="13"/>
        <item x="511"/>
        <item x="540"/>
        <item x="154"/>
        <item x="544"/>
        <item x="716"/>
        <item x="633"/>
        <item x="462"/>
        <item x="9"/>
        <item x="670"/>
        <item x="238"/>
        <item x="690"/>
        <item x="684"/>
        <item x="350"/>
        <item x="449"/>
        <item x="450"/>
        <item x="693"/>
        <item x="371"/>
        <item x="398"/>
        <item x="164"/>
        <item x="590"/>
        <item x="610"/>
        <item x="320"/>
        <item x="699"/>
        <item x="412"/>
        <item x="295"/>
        <item x="683"/>
        <item x="524"/>
        <item x="321"/>
        <item x="667"/>
        <item x="704"/>
        <item x="109"/>
        <item x="638"/>
        <item x="553"/>
        <item x="346"/>
        <item x="388"/>
        <item x="622"/>
        <item x="271"/>
        <item x="230"/>
        <item x="526"/>
        <item x="172"/>
        <item x="7"/>
        <item x="310"/>
        <item x="107"/>
        <item x="158"/>
        <item x="577"/>
        <item x="597"/>
        <item x="418"/>
        <item x="67"/>
        <item x="152"/>
        <item x="210"/>
        <item x="192"/>
        <item x="579"/>
        <item x="696"/>
        <item x="255"/>
        <item x="531"/>
        <item x="205"/>
        <item x="547"/>
        <item x="4"/>
        <item x="84"/>
        <item x="121"/>
        <item x="519"/>
        <item x="509"/>
        <item x="334"/>
        <item x="90"/>
        <item x="74"/>
        <item x="679"/>
        <item x="652"/>
        <item x="401"/>
        <item x="539"/>
        <item x="665"/>
        <item x="580"/>
        <item x="301"/>
        <item x="457"/>
        <item x="589"/>
        <item x="640"/>
        <item x="108"/>
        <item x="131"/>
        <item x="405"/>
        <item x="245"/>
        <item x="444"/>
        <item x="399"/>
        <item x="43"/>
        <item x="324"/>
        <item x="460"/>
        <item x="256"/>
        <item x="570"/>
        <item x="681"/>
        <item x="635"/>
        <item x="264"/>
        <item x="176"/>
        <item x="98"/>
        <item x="307"/>
        <item x="2"/>
        <item x="393"/>
        <item x="510"/>
        <item x="94"/>
        <item x="14"/>
        <item x="273"/>
        <item x="337"/>
        <item x="713"/>
        <item x="253"/>
        <item x="490"/>
        <item x="659"/>
        <item x="663"/>
        <item x="496"/>
        <item x="503"/>
        <item x="101"/>
        <item x="515"/>
        <item x="349"/>
        <item x="291"/>
        <item x="685"/>
        <item x="480"/>
        <item x="155"/>
        <item x="12"/>
        <item x="410"/>
        <item x="16"/>
        <item x="703"/>
        <item x="605"/>
        <item x="290"/>
        <item x="194"/>
        <item x="343"/>
        <item x="552"/>
        <item x="200"/>
        <item x="148"/>
        <item x="8"/>
        <item x="687"/>
        <item x="282"/>
        <item x="246"/>
        <item x="481"/>
        <item x="265"/>
        <item x="325"/>
        <item x="339"/>
        <item x="292"/>
        <item x="42"/>
        <item x="492"/>
        <item x="322"/>
        <item x="565"/>
        <item x="513"/>
        <item x="461"/>
        <item x="641"/>
        <item x="57"/>
        <item x="459"/>
        <item x="130"/>
        <item x="501"/>
        <item x="424"/>
        <item x="671"/>
        <item x="50"/>
        <item x="260"/>
        <item x="315"/>
        <item x="360"/>
        <item x="710"/>
        <item x="6"/>
        <item x="60"/>
        <item x="144"/>
        <item x="646"/>
        <item x="407"/>
        <item x="555"/>
        <item x="270"/>
        <item x="408"/>
        <item x="137"/>
        <item x="161"/>
        <item x="593"/>
        <item x="368"/>
        <item x="196"/>
        <item x="499"/>
        <item x="156"/>
        <item x="15"/>
        <item x="114"/>
        <item x="535"/>
        <item x="573"/>
        <item x="674"/>
        <item x="85"/>
        <item x="338"/>
        <item x="77"/>
        <item x="171"/>
        <item x="441"/>
        <item x="305"/>
        <item x="549"/>
        <item x="217"/>
        <item x="568"/>
        <item x="558"/>
        <item x="356"/>
        <item x="177"/>
        <item x="686"/>
        <item x="559"/>
        <item x="464"/>
        <item x="118"/>
        <item x="677"/>
        <item x="147"/>
        <item x="458"/>
        <item x="106"/>
        <item x="403"/>
        <item x="532"/>
        <item x="694"/>
        <item x="396"/>
        <item x="355"/>
        <item x="520"/>
        <item x="11"/>
        <item x="75"/>
        <item x="37"/>
        <item x="588"/>
        <item x="10"/>
        <item x="328"/>
        <item x="691"/>
        <item x="637"/>
        <item x="187"/>
        <item x="79"/>
        <item x="387"/>
        <item x="448"/>
        <item x="467"/>
        <item x="72"/>
        <item x="366"/>
        <item x="662"/>
        <item x="406"/>
        <item x="697"/>
        <item x="183"/>
        <item x="38"/>
        <item x="125"/>
        <item x="293"/>
        <item x="474"/>
        <item x="516"/>
        <item x="619"/>
        <item x="208"/>
        <item x="250"/>
        <item x="134"/>
        <item x="440"/>
        <item x="302"/>
        <item x="494"/>
        <item x="551"/>
        <item x="358"/>
        <item x="20"/>
        <item x="35"/>
        <item x="504"/>
        <item x="275"/>
        <item x="31"/>
        <item x="201"/>
        <item x="266"/>
        <item x="377"/>
        <item x="278"/>
        <item x="518"/>
        <item x="563"/>
        <item x="660"/>
        <item x="373"/>
        <item x="225"/>
        <item x="456"/>
        <item x="19"/>
        <item x="223"/>
        <item x="478"/>
        <item x="554"/>
        <item x="262"/>
        <item x="236"/>
        <item x="502"/>
        <item x="132"/>
        <item x="89"/>
        <item x="244"/>
        <item x="546"/>
        <item x="419"/>
        <item x="592"/>
        <item x="654"/>
        <item x="380"/>
        <item x="220"/>
        <item x="333"/>
        <item x="541"/>
        <item x="621"/>
        <item x="369"/>
        <item x="476"/>
        <item x="383"/>
        <item x="261"/>
        <item x="314"/>
        <item x="372"/>
        <item x="487"/>
        <item x="548"/>
        <item x="96"/>
        <item x="93"/>
        <item x="168"/>
        <item x="304"/>
        <item x="378"/>
        <item x="523"/>
        <item x="5"/>
        <item x="657"/>
        <item x="182"/>
        <item x="400"/>
        <item x="258"/>
        <item x="708"/>
        <item x="436"/>
        <item x="199"/>
        <item x="23"/>
        <item x="289"/>
        <item x="88"/>
        <item x="227"/>
        <item x="336"/>
        <item x="715"/>
        <item x="483"/>
        <item x="80"/>
        <item x="595"/>
        <item x="507"/>
        <item x="279"/>
        <item x="606"/>
        <item x="432"/>
        <item x="120"/>
        <item x="3"/>
        <item x="409"/>
        <item x="505"/>
        <item x="49"/>
        <item x="257"/>
        <item x="596"/>
        <item x="485"/>
        <item x="529"/>
        <item x="129"/>
        <item x="389"/>
        <item x="352"/>
        <item x="508"/>
        <item x="397"/>
        <item x="578"/>
        <item x="382"/>
        <item x="594"/>
        <item x="66"/>
        <item x="625"/>
        <item x="288"/>
        <item x="69"/>
        <item x="319"/>
        <item x="229"/>
        <item x="311"/>
        <item x="702"/>
        <item x="298"/>
        <item x="411"/>
        <item x="136"/>
        <item x="140"/>
        <item x="391"/>
        <item x="386"/>
        <item x="437"/>
        <item x="673"/>
        <item x="115"/>
        <item x="586"/>
        <item x="572"/>
        <item x="329"/>
        <item x="587"/>
        <item x="83"/>
        <item x="197"/>
        <item x="347"/>
        <item x="24"/>
        <item x="477"/>
        <item x="711"/>
        <item x="560"/>
        <item x="97"/>
        <item x="283"/>
        <item x="426"/>
        <item x="473"/>
        <item x="40"/>
        <item x="500"/>
        <item x="254"/>
        <item x="190"/>
        <item x="422"/>
        <item x="299"/>
        <item x="433"/>
        <item x="600"/>
        <item x="195"/>
        <item x="309"/>
        <item x="124"/>
        <item x="212"/>
        <item x="82"/>
        <item x="431"/>
        <item x="598"/>
        <item x="395"/>
        <item x="70"/>
        <item x="340"/>
        <item x="1"/>
        <item x="365"/>
        <item x="17"/>
        <item x="249"/>
        <item x="653"/>
        <item x="717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E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4F6BC-F318-4265-A794-FA53D44D390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1" firstDataRow="2" firstDataCol="1"/>
  <pivotFields count="14"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>
      <items count="23">
        <item x="12"/>
        <item x="14"/>
        <item x="5"/>
        <item x="10"/>
        <item x="3"/>
        <item x="7"/>
        <item x="16"/>
        <item x="13"/>
        <item x="1"/>
        <item x="15"/>
        <item x="4"/>
        <item x="6"/>
        <item x="11"/>
        <item x="2"/>
        <item x="8"/>
        <item x="20"/>
        <item x="0"/>
        <item x="9"/>
        <item x="17"/>
        <item x="19"/>
        <item x="18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AD3A-E476-4A31-91E3-F0047D0760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4">
    <pivotField dataField="1"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EID" fld="0" subtotal="count" baseField="0" baseItem="0"/>
  </dataField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E0825-E18F-4FA1-BADD-E72D873ED96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 ">
  <location ref="A3:B14" firstHeaderRow="1" firstDataRow="1" firstDataCol="1"/>
  <pivotFields count="14">
    <pivotField showAll="0"/>
    <pivotField axis="axisRow" showAll="0" measureFilter="1" sortType="ascending">
      <items count="794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x="7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11"/>
    </i>
    <i>
      <x v="234"/>
    </i>
    <i>
      <x v="31"/>
    </i>
    <i>
      <x v="767"/>
    </i>
    <i>
      <x v="39"/>
    </i>
    <i>
      <x v="451"/>
    </i>
    <i>
      <x v="433"/>
    </i>
    <i>
      <x v="240"/>
    </i>
    <i>
      <x v="228"/>
    </i>
    <i>
      <x v="422"/>
    </i>
    <i t="grand">
      <x/>
    </i>
  </rowItems>
  <colItems count="1">
    <i/>
  </colItems>
  <dataFields count="1">
    <dataField name="Sum of Annual" fld="9" baseField="0" baseItem="0" numFmtId="165"/>
  </dataFields>
  <formats count="2">
    <format dxfId="3">
      <pivotArea dataOnly="0" outline="0" axis="axisValues" fieldPosition="0"/>
    </format>
    <format dxfId="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1CA08-E024-4D1C-A6A2-78F2CA4F4A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4" firstHeaderRow="0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Column1" fld="12" subtotal="average" baseField="0" baseItem="0" numFmtId="2"/>
    <dataField name="Average of Annual" fld="9" subtotal="average" baseField="0" baseItem="1"/>
  </dataFields>
  <formats count="2">
    <format dxfId="1">
      <pivotArea outline="0" collapsedLevelsAreSubtotals="1" fieldPosition="0"/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931E3-519B-4333-9AE3-DF2B48DFA1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93" totalsRowShown="0">
  <autoFilter ref="A1:N793" xr:uid="{00000000-0009-0000-0100-000001000000}"/>
  <tableColumns count="14">
    <tableColumn id="1" xr3:uid="{00000000-0010-0000-0000-000001000000}" name="EEID"/>
    <tableColumn id="2" xr3:uid="{00000000-0010-0000-0000-000002000000}" name="Full"/>
    <tableColumn id="3" xr3:uid="{00000000-0010-0000-0000-000003000000}" name="Gender"/>
    <tableColumn id="4" xr3:uid="{00000000-0010-0000-0000-000004000000}" name="Age"/>
    <tableColumn id="5" xr3:uid="{00000000-0010-0000-0000-000005000000}" name="Job"/>
    <tableColumn id="6" xr3:uid="{00000000-0010-0000-0000-000006000000}" name="Department"/>
    <tableColumn id="7" xr3:uid="{00000000-0010-0000-0000-000007000000}" name="Business"/>
    <tableColumn id="8" xr3:uid="{00000000-0010-0000-0000-000008000000}" name="Hire" dataDxfId="7"/>
    <tableColumn id="9" xr3:uid="{00000000-0010-0000-0000-000009000000}" name="Exit" dataDxfId="6"/>
    <tableColumn id="10" xr3:uid="{00000000-0010-0000-0000-00000A000000}" name="Annual"/>
    <tableColumn id="11" xr3:uid="{00000000-0010-0000-0000-00000B000000}" name="Bonus"/>
    <tableColumn id="12" xr3:uid="{00000000-0010-0000-0000-00000C000000}" name="Status"/>
    <tableColumn id="13" xr3:uid="{00000000-0010-0000-0000-00000D000000}" name="Year" dataDxfId="5">
      <calculatedColumnFormula>IF(I2="",DATEDIF(H2,TODAY(),"Y"),DATEDIF(H2,I2,"Y"))</calculatedColumnFormula>
    </tableColumn>
    <tableColumn id="14" xr3:uid="{18C35883-1745-4147-8B93-344E68BD9D91}" name="age distribution" dataDxfId="4">
      <calculatedColumnFormula>IF(D2&lt;30,"20-29",IF(D2&lt;40,"30-39",IF(D2&lt;50,"40-49",IF(D2&lt;60,"50-59","+60"))))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6D30-FD8E-46D5-A0B2-BB2D79C9BC70}">
  <dimension ref="A1"/>
  <sheetViews>
    <sheetView showGridLines="0" showRowColHeaders="0" tabSelected="1" topLeftCell="D1" zoomScale="86" zoomScaleNormal="86" workbookViewId="0">
      <selection activeCell="R42" sqref="R42"/>
    </sheetView>
  </sheetViews>
  <sheetFormatPr defaultRowHeight="15" x14ac:dyDescent="0.25"/>
  <cols>
    <col min="1" max="16384" width="9.140625" style="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3"/>
  <sheetViews>
    <sheetView zoomScaleNormal="100" workbookViewId="0">
      <selection activeCell="C2" sqref="C2"/>
    </sheetView>
  </sheetViews>
  <sheetFormatPr defaultRowHeight="15" x14ac:dyDescent="0.25"/>
  <cols>
    <col min="1" max="1" width="7.5703125" bestFit="1" customWidth="1"/>
    <col min="2" max="2" width="13.140625" customWidth="1"/>
    <col min="3" max="3" width="12.42578125" customWidth="1"/>
    <col min="4" max="4" width="12.28515625" customWidth="1"/>
    <col min="5" max="5" width="11.7109375" customWidth="1"/>
    <col min="6" max="6" width="16" customWidth="1"/>
    <col min="7" max="7" width="13.7109375" customWidth="1"/>
    <col min="8" max="8" width="13.85546875" style="1" customWidth="1"/>
    <col min="9" max="9" width="15.28515625" style="1" customWidth="1"/>
    <col min="10" max="10" width="11.85546875" customWidth="1"/>
    <col min="11" max="11" width="12.140625" customWidth="1"/>
    <col min="12" max="12" width="12.5703125" customWidth="1"/>
    <col min="13" max="13" width="20.7109375" customWidth="1"/>
    <col min="14" max="14" width="17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1565</v>
      </c>
      <c r="N1" t="s">
        <v>1547</v>
      </c>
    </row>
    <row r="2" spans="1:14" x14ac:dyDescent="0.25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  <c r="M2">
        <f t="shared" ref="M2:M65" ca="1" si="0">IF(I2="",DATEDIF(H2,TODAY(),"Y"),DATEDIF(H2,I2,"Y"))</f>
        <v>2</v>
      </c>
      <c r="N2" t="str">
        <f t="shared" ref="N2:N65" si="1">IF(D2&lt;30,"20-29",IF(D2&lt;40,"30-39",IF(D2&lt;50,"40-49",IF(D2&lt;60,"50-59","+60"))))</f>
        <v>40-49</v>
      </c>
    </row>
    <row r="3" spans="1:14" x14ac:dyDescent="0.25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  <c r="M3">
        <f t="shared" ca="1" si="0"/>
        <v>4</v>
      </c>
      <c r="N3" t="str">
        <f t="shared" si="1"/>
        <v>30-39</v>
      </c>
    </row>
    <row r="4" spans="1:14" x14ac:dyDescent="0.25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  <c r="M4">
        <f t="shared" ca="1" si="0"/>
        <v>2</v>
      </c>
      <c r="N4" t="str">
        <f t="shared" si="1"/>
        <v>40-49</v>
      </c>
    </row>
    <row r="5" spans="1:14" x14ac:dyDescent="0.25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  <c r="M5">
        <f t="shared" ca="1" si="0"/>
        <v>2</v>
      </c>
      <c r="N5" t="str">
        <f t="shared" si="1"/>
        <v>30-39</v>
      </c>
    </row>
    <row r="6" spans="1:14" x14ac:dyDescent="0.25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  <c r="M6">
        <f t="shared" ca="1" si="0"/>
        <v>3</v>
      </c>
      <c r="N6" t="str">
        <f t="shared" si="1"/>
        <v>30-39</v>
      </c>
    </row>
    <row r="7" spans="1:14" x14ac:dyDescent="0.25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  <c r="M7">
        <f t="shared" ca="1" si="0"/>
        <v>4</v>
      </c>
      <c r="N7" t="str">
        <f t="shared" si="1"/>
        <v>30-39</v>
      </c>
    </row>
    <row r="8" spans="1:14" x14ac:dyDescent="0.25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  <c r="M8">
        <f t="shared" ca="1" si="0"/>
        <v>2</v>
      </c>
      <c r="N8" t="str">
        <f t="shared" si="1"/>
        <v>20-29</v>
      </c>
    </row>
    <row r="9" spans="1:14" x14ac:dyDescent="0.25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  <c r="M9">
        <f t="shared" ca="1" si="0"/>
        <v>4</v>
      </c>
      <c r="N9" t="str">
        <f t="shared" si="1"/>
        <v>30-39</v>
      </c>
    </row>
    <row r="10" spans="1:14" x14ac:dyDescent="0.25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  <c r="M10">
        <f t="shared" ca="1" si="0"/>
        <v>3</v>
      </c>
      <c r="N10" t="str">
        <f t="shared" si="1"/>
        <v>30-39</v>
      </c>
    </row>
    <row r="11" spans="1:14" x14ac:dyDescent="0.25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  <c r="M11">
        <f t="shared" ca="1" si="0"/>
        <v>1</v>
      </c>
      <c r="N11" t="str">
        <f t="shared" si="1"/>
        <v>40-49</v>
      </c>
    </row>
    <row r="12" spans="1:14" x14ac:dyDescent="0.25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  <c r="M12">
        <f t="shared" ca="1" si="0"/>
        <v>3</v>
      </c>
      <c r="N12" t="str">
        <f t="shared" si="1"/>
        <v>50-59</v>
      </c>
    </row>
    <row r="13" spans="1:14" x14ac:dyDescent="0.25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  <c r="M13">
        <f t="shared" ca="1" si="0"/>
        <v>2</v>
      </c>
      <c r="N13" t="str">
        <f t="shared" si="1"/>
        <v>30-39</v>
      </c>
    </row>
    <row r="14" spans="1:14" x14ac:dyDescent="0.25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  <c r="M14">
        <f t="shared" ca="1" si="0"/>
        <v>2</v>
      </c>
      <c r="N14" t="str">
        <f t="shared" si="1"/>
        <v>40-49</v>
      </c>
    </row>
    <row r="15" spans="1:14" x14ac:dyDescent="0.25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  <c r="M15">
        <f t="shared" ca="1" si="0"/>
        <v>2</v>
      </c>
      <c r="N15" t="str">
        <f t="shared" si="1"/>
        <v>20-29</v>
      </c>
    </row>
    <row r="16" spans="1:14" x14ac:dyDescent="0.25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  <c r="M16">
        <f t="shared" ca="1" si="0"/>
        <v>2</v>
      </c>
      <c r="N16" t="str">
        <f t="shared" si="1"/>
        <v>40-49</v>
      </c>
    </row>
    <row r="17" spans="1:14" x14ac:dyDescent="0.25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  <c r="M17">
        <f t="shared" ca="1" si="0"/>
        <v>0</v>
      </c>
      <c r="N17" t="str">
        <f t="shared" si="1"/>
        <v>40-49</v>
      </c>
    </row>
    <row r="18" spans="1:14" x14ac:dyDescent="0.25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  <c r="M18">
        <f t="shared" ca="1" si="0"/>
        <v>1</v>
      </c>
      <c r="N18" t="str">
        <f t="shared" si="1"/>
        <v>30-39</v>
      </c>
    </row>
    <row r="19" spans="1:14" x14ac:dyDescent="0.25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  <c r="M19">
        <f t="shared" ca="1" si="0"/>
        <v>5</v>
      </c>
      <c r="N19" t="str">
        <f t="shared" si="1"/>
        <v>40-49</v>
      </c>
    </row>
    <row r="20" spans="1:14" x14ac:dyDescent="0.25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  <c r="M20">
        <f t="shared" ca="1" si="0"/>
        <v>2</v>
      </c>
      <c r="N20" t="str">
        <f t="shared" si="1"/>
        <v>40-49</v>
      </c>
    </row>
    <row r="21" spans="1:14" x14ac:dyDescent="0.25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  <c r="M21">
        <f t="shared" ca="1" si="0"/>
        <v>1</v>
      </c>
      <c r="N21" t="str">
        <f t="shared" si="1"/>
        <v>20-29</v>
      </c>
    </row>
    <row r="22" spans="1:14" x14ac:dyDescent="0.25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  <c r="M22">
        <f t="shared" ca="1" si="0"/>
        <v>1</v>
      </c>
      <c r="N22" t="str">
        <f t="shared" si="1"/>
        <v>30-39</v>
      </c>
    </row>
    <row r="23" spans="1:14" x14ac:dyDescent="0.25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  <c r="M23">
        <f t="shared" ca="1" si="0"/>
        <v>3</v>
      </c>
      <c r="N23" t="str">
        <f t="shared" si="1"/>
        <v>20-29</v>
      </c>
    </row>
    <row r="24" spans="1:14" x14ac:dyDescent="0.25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  <c r="M24">
        <f t="shared" ca="1" si="0"/>
        <v>1</v>
      </c>
      <c r="N24" t="str">
        <f t="shared" si="1"/>
        <v>30-39</v>
      </c>
    </row>
    <row r="25" spans="1:14" x14ac:dyDescent="0.25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  <c r="M25">
        <f t="shared" ca="1" si="0"/>
        <v>4</v>
      </c>
      <c r="N25" t="str">
        <f t="shared" si="1"/>
        <v>20-29</v>
      </c>
    </row>
    <row r="26" spans="1:14" x14ac:dyDescent="0.25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  <c r="M26">
        <f t="shared" ca="1" si="0"/>
        <v>2</v>
      </c>
      <c r="N26" t="str">
        <f t="shared" si="1"/>
        <v>20-29</v>
      </c>
    </row>
    <row r="27" spans="1:14" x14ac:dyDescent="0.25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  <c r="M27">
        <f t="shared" ca="1" si="0"/>
        <v>3</v>
      </c>
      <c r="N27" t="str">
        <f t="shared" si="1"/>
        <v>20-29</v>
      </c>
    </row>
    <row r="28" spans="1:14" x14ac:dyDescent="0.25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  <c r="M28">
        <f t="shared" ca="1" si="0"/>
        <v>3</v>
      </c>
      <c r="N28" t="str">
        <f t="shared" si="1"/>
        <v>30-39</v>
      </c>
    </row>
    <row r="29" spans="1:14" x14ac:dyDescent="0.25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  <c r="M29">
        <f t="shared" ca="1" si="0"/>
        <v>3</v>
      </c>
      <c r="N29" t="str">
        <f t="shared" si="1"/>
        <v>30-39</v>
      </c>
    </row>
    <row r="30" spans="1:14" x14ac:dyDescent="0.25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  <c r="M30">
        <f t="shared" ca="1" si="0"/>
        <v>2</v>
      </c>
      <c r="N30" t="str">
        <f t="shared" si="1"/>
        <v>40-49</v>
      </c>
    </row>
    <row r="31" spans="1:14" x14ac:dyDescent="0.25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  <c r="M31">
        <f t="shared" ca="1" si="0"/>
        <v>2</v>
      </c>
      <c r="N31" t="str">
        <f t="shared" si="1"/>
        <v>30-39</v>
      </c>
    </row>
    <row r="32" spans="1:14" x14ac:dyDescent="0.25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  <c r="M32">
        <f t="shared" ca="1" si="0"/>
        <v>3</v>
      </c>
      <c r="N32" t="str">
        <f t="shared" si="1"/>
        <v>30-39</v>
      </c>
    </row>
    <row r="33" spans="1:14" x14ac:dyDescent="0.25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  <c r="M33">
        <f t="shared" ca="1" si="0"/>
        <v>6</v>
      </c>
      <c r="N33" t="str">
        <f t="shared" si="1"/>
        <v>40-49</v>
      </c>
    </row>
    <row r="34" spans="1:14" x14ac:dyDescent="0.25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  <c r="M34">
        <f t="shared" ca="1" si="0"/>
        <v>5</v>
      </c>
      <c r="N34" t="str">
        <f t="shared" si="1"/>
        <v>50-59</v>
      </c>
    </row>
    <row r="35" spans="1:14" x14ac:dyDescent="0.25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  <c r="M35">
        <f t="shared" ca="1" si="0"/>
        <v>4</v>
      </c>
      <c r="N35" t="str">
        <f t="shared" si="1"/>
        <v>50-59</v>
      </c>
    </row>
    <row r="36" spans="1:14" x14ac:dyDescent="0.25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  <c r="M36">
        <f t="shared" ca="1" si="0"/>
        <v>3</v>
      </c>
      <c r="N36" t="str">
        <f t="shared" si="1"/>
        <v>50-59</v>
      </c>
    </row>
    <row r="37" spans="1:14" x14ac:dyDescent="0.25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  <c r="M37">
        <f t="shared" ca="1" si="0"/>
        <v>1</v>
      </c>
      <c r="N37" t="str">
        <f t="shared" si="1"/>
        <v>40-49</v>
      </c>
    </row>
    <row r="38" spans="1:14" x14ac:dyDescent="0.25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  <c r="M38">
        <f t="shared" ca="1" si="0"/>
        <v>5</v>
      </c>
      <c r="N38" t="str">
        <f t="shared" si="1"/>
        <v>30-39</v>
      </c>
    </row>
    <row r="39" spans="1:14" x14ac:dyDescent="0.25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  <c r="M39">
        <f t="shared" ca="1" si="0"/>
        <v>6</v>
      </c>
      <c r="N39" t="str">
        <f t="shared" si="1"/>
        <v>40-49</v>
      </c>
    </row>
    <row r="40" spans="1:14" x14ac:dyDescent="0.25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  <c r="M40">
        <f t="shared" ca="1" si="0"/>
        <v>2</v>
      </c>
      <c r="N40" t="str">
        <f t="shared" si="1"/>
        <v>30-39</v>
      </c>
    </row>
    <row r="41" spans="1:14" x14ac:dyDescent="0.25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  <c r="M41">
        <f t="shared" ca="1" si="0"/>
        <v>1</v>
      </c>
      <c r="N41" t="str">
        <f t="shared" si="1"/>
        <v>30-39</v>
      </c>
    </row>
    <row r="42" spans="1:14" x14ac:dyDescent="0.25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  <c r="M42">
        <f t="shared" ca="1" si="0"/>
        <v>3</v>
      </c>
      <c r="N42" t="str">
        <f t="shared" si="1"/>
        <v>30-39</v>
      </c>
    </row>
    <row r="43" spans="1:14" x14ac:dyDescent="0.25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  <c r="M43">
        <f t="shared" ca="1" si="0"/>
        <v>1</v>
      </c>
      <c r="N43" t="str">
        <f t="shared" si="1"/>
        <v>20-29</v>
      </c>
    </row>
    <row r="44" spans="1:14" x14ac:dyDescent="0.25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  <c r="M44">
        <f t="shared" ca="1" si="0"/>
        <v>3</v>
      </c>
      <c r="N44" t="str">
        <f t="shared" si="1"/>
        <v>40-49</v>
      </c>
    </row>
    <row r="45" spans="1:14" x14ac:dyDescent="0.25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  <c r="M45">
        <f t="shared" ca="1" si="0"/>
        <v>0</v>
      </c>
      <c r="N45" t="str">
        <f t="shared" si="1"/>
        <v>30-39</v>
      </c>
    </row>
    <row r="46" spans="1:14" x14ac:dyDescent="0.25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  <c r="M46">
        <f t="shared" ca="1" si="0"/>
        <v>2</v>
      </c>
      <c r="N46" t="str">
        <f t="shared" si="1"/>
        <v>40-49</v>
      </c>
    </row>
    <row r="47" spans="1:14" x14ac:dyDescent="0.25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  <c r="M47">
        <f t="shared" ca="1" si="0"/>
        <v>2</v>
      </c>
      <c r="N47" t="str">
        <f t="shared" si="1"/>
        <v>50-59</v>
      </c>
    </row>
    <row r="48" spans="1:14" x14ac:dyDescent="0.25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  <c r="M48">
        <f t="shared" ca="1" si="0"/>
        <v>6</v>
      </c>
      <c r="N48" t="str">
        <f t="shared" si="1"/>
        <v>40-49</v>
      </c>
    </row>
    <row r="49" spans="1:14" x14ac:dyDescent="0.25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  <c r="M49">
        <f t="shared" ca="1" si="0"/>
        <v>2</v>
      </c>
      <c r="N49" t="str">
        <f t="shared" si="1"/>
        <v>40-49</v>
      </c>
    </row>
    <row r="50" spans="1:14" x14ac:dyDescent="0.25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  <c r="M50">
        <f t="shared" ca="1" si="0"/>
        <v>1</v>
      </c>
      <c r="N50" t="str">
        <f t="shared" si="1"/>
        <v>20-29</v>
      </c>
    </row>
    <row r="51" spans="1:14" x14ac:dyDescent="0.25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  <c r="M51">
        <f t="shared" ca="1" si="0"/>
        <v>3</v>
      </c>
      <c r="N51" t="str">
        <f t="shared" si="1"/>
        <v>40-49</v>
      </c>
    </row>
    <row r="52" spans="1:14" x14ac:dyDescent="0.25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  <c r="M52">
        <f t="shared" ca="1" si="0"/>
        <v>0</v>
      </c>
      <c r="N52" t="str">
        <f t="shared" si="1"/>
        <v>40-49</v>
      </c>
    </row>
    <row r="53" spans="1:14" x14ac:dyDescent="0.25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  <c r="M53">
        <f t="shared" ca="1" si="0"/>
        <v>1</v>
      </c>
      <c r="N53" t="str">
        <f t="shared" si="1"/>
        <v>40-49</v>
      </c>
    </row>
    <row r="54" spans="1:14" x14ac:dyDescent="0.25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  <c r="M54">
        <f t="shared" ca="1" si="0"/>
        <v>6</v>
      </c>
      <c r="N54" t="str">
        <f t="shared" si="1"/>
        <v>40-49</v>
      </c>
    </row>
    <row r="55" spans="1:14" x14ac:dyDescent="0.25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  <c r="M55">
        <f t="shared" ca="1" si="0"/>
        <v>3</v>
      </c>
      <c r="N55" t="str">
        <f t="shared" si="1"/>
        <v>40-49</v>
      </c>
    </row>
    <row r="56" spans="1:14" x14ac:dyDescent="0.25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  <c r="M56">
        <f t="shared" ca="1" si="0"/>
        <v>1</v>
      </c>
      <c r="N56" t="str">
        <f t="shared" si="1"/>
        <v>20-29</v>
      </c>
    </row>
    <row r="57" spans="1:14" x14ac:dyDescent="0.25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  <c r="M57">
        <f t="shared" ca="1" si="0"/>
        <v>4</v>
      </c>
      <c r="N57" t="str">
        <f t="shared" si="1"/>
        <v>30-39</v>
      </c>
    </row>
    <row r="58" spans="1:14" x14ac:dyDescent="0.25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  <c r="M58">
        <f t="shared" ca="1" si="0"/>
        <v>2</v>
      </c>
      <c r="N58" t="str">
        <f t="shared" si="1"/>
        <v>20-29</v>
      </c>
    </row>
    <row r="59" spans="1:14" x14ac:dyDescent="0.25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  <c r="M59">
        <f t="shared" ca="1" si="0"/>
        <v>3</v>
      </c>
      <c r="N59" t="str">
        <f t="shared" si="1"/>
        <v>30-39</v>
      </c>
    </row>
    <row r="60" spans="1:14" x14ac:dyDescent="0.25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  <c r="M60">
        <f t="shared" ca="1" si="0"/>
        <v>3</v>
      </c>
      <c r="N60" t="str">
        <f t="shared" si="1"/>
        <v>20-29</v>
      </c>
    </row>
    <row r="61" spans="1:14" x14ac:dyDescent="0.25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  <c r="M61">
        <f t="shared" ca="1" si="0"/>
        <v>1</v>
      </c>
      <c r="N61" t="str">
        <f t="shared" si="1"/>
        <v>20-29</v>
      </c>
    </row>
    <row r="62" spans="1:14" x14ac:dyDescent="0.25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  <c r="M62">
        <f t="shared" ca="1" si="0"/>
        <v>2</v>
      </c>
      <c r="N62" t="str">
        <f t="shared" si="1"/>
        <v>20-29</v>
      </c>
    </row>
    <row r="63" spans="1:14" x14ac:dyDescent="0.25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  <c r="M63">
        <f t="shared" ca="1" si="0"/>
        <v>2</v>
      </c>
      <c r="N63" t="str">
        <f t="shared" si="1"/>
        <v>30-39</v>
      </c>
    </row>
    <row r="64" spans="1:14" x14ac:dyDescent="0.25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  <c r="M64">
        <f t="shared" ca="1" si="0"/>
        <v>3</v>
      </c>
      <c r="N64" t="str">
        <f t="shared" si="1"/>
        <v>30-39</v>
      </c>
    </row>
    <row r="65" spans="1:14" x14ac:dyDescent="0.25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  <c r="M65">
        <f t="shared" ca="1" si="0"/>
        <v>3</v>
      </c>
      <c r="N65" t="str">
        <f t="shared" si="1"/>
        <v>40-49</v>
      </c>
    </row>
    <row r="66" spans="1:14" x14ac:dyDescent="0.25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  <c r="M66">
        <f t="shared" ref="M66:M129" ca="1" si="2">IF(I66="",DATEDIF(H66,TODAY(),"Y"),DATEDIF(H66,I66,"Y"))</f>
        <v>3</v>
      </c>
      <c r="N66" t="str">
        <f t="shared" ref="N66:N129" si="3">IF(D66&lt;30,"20-29",IF(D66&lt;40,"30-39",IF(D66&lt;50,"40-49",IF(D66&lt;60,"50-59","+60"))))</f>
        <v>30-39</v>
      </c>
    </row>
    <row r="67" spans="1:14" x14ac:dyDescent="0.25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  <c r="M67">
        <f t="shared" ca="1" si="2"/>
        <v>2</v>
      </c>
      <c r="N67" t="str">
        <f t="shared" si="3"/>
        <v>30-39</v>
      </c>
    </row>
    <row r="68" spans="1:14" x14ac:dyDescent="0.25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  <c r="M68">
        <f t="shared" ca="1" si="2"/>
        <v>2</v>
      </c>
      <c r="N68" t="str">
        <f t="shared" si="3"/>
        <v>40-49</v>
      </c>
    </row>
    <row r="69" spans="1:14" x14ac:dyDescent="0.25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  <c r="M69">
        <f t="shared" ca="1" si="2"/>
        <v>2</v>
      </c>
      <c r="N69" t="str">
        <f t="shared" si="3"/>
        <v>50-59</v>
      </c>
    </row>
    <row r="70" spans="1:14" x14ac:dyDescent="0.25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  <c r="M70">
        <f t="shared" ca="1" si="2"/>
        <v>5</v>
      </c>
      <c r="N70" t="str">
        <f t="shared" si="3"/>
        <v>50-59</v>
      </c>
    </row>
    <row r="71" spans="1:14" x14ac:dyDescent="0.25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  <c r="M71">
        <f t="shared" ca="1" si="2"/>
        <v>6</v>
      </c>
      <c r="N71" t="str">
        <f t="shared" si="3"/>
        <v>50-59</v>
      </c>
    </row>
    <row r="72" spans="1:14" x14ac:dyDescent="0.25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  <c r="M72">
        <f t="shared" ca="1" si="2"/>
        <v>2</v>
      </c>
      <c r="N72" t="str">
        <f t="shared" si="3"/>
        <v>40-49</v>
      </c>
    </row>
    <row r="73" spans="1:14" x14ac:dyDescent="0.25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  <c r="M73">
        <f t="shared" ca="1" si="2"/>
        <v>4</v>
      </c>
      <c r="N73" t="str">
        <f t="shared" si="3"/>
        <v>30-39</v>
      </c>
    </row>
    <row r="74" spans="1:14" x14ac:dyDescent="0.25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  <c r="M74">
        <f t="shared" ca="1" si="2"/>
        <v>3</v>
      </c>
      <c r="N74" t="str">
        <f t="shared" si="3"/>
        <v>40-49</v>
      </c>
    </row>
    <row r="75" spans="1:14" x14ac:dyDescent="0.25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  <c r="M75">
        <f t="shared" ca="1" si="2"/>
        <v>1</v>
      </c>
      <c r="N75" t="str">
        <f t="shared" si="3"/>
        <v>30-39</v>
      </c>
    </row>
    <row r="76" spans="1:14" x14ac:dyDescent="0.25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  <c r="M76">
        <f t="shared" ca="1" si="2"/>
        <v>3</v>
      </c>
      <c r="N76" t="str">
        <f t="shared" si="3"/>
        <v>30-39</v>
      </c>
    </row>
    <row r="77" spans="1:14" x14ac:dyDescent="0.25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  <c r="M77">
        <f t="shared" ca="1" si="2"/>
        <v>2</v>
      </c>
      <c r="N77" t="str">
        <f t="shared" si="3"/>
        <v>30-39</v>
      </c>
    </row>
    <row r="78" spans="1:14" x14ac:dyDescent="0.25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  <c r="M78">
        <f t="shared" ca="1" si="2"/>
        <v>2</v>
      </c>
      <c r="N78" t="str">
        <f t="shared" si="3"/>
        <v>20-29</v>
      </c>
    </row>
    <row r="79" spans="1:14" x14ac:dyDescent="0.25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  <c r="M79">
        <f t="shared" ca="1" si="2"/>
        <v>0</v>
      </c>
      <c r="N79" t="str">
        <f t="shared" si="3"/>
        <v>30-39</v>
      </c>
    </row>
    <row r="80" spans="1:14" x14ac:dyDescent="0.25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  <c r="M80">
        <f t="shared" ca="1" si="2"/>
        <v>4</v>
      </c>
      <c r="N80" t="str">
        <f t="shared" si="3"/>
        <v>30-39</v>
      </c>
    </row>
    <row r="81" spans="1:14" x14ac:dyDescent="0.25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  <c r="M81">
        <f t="shared" ca="1" si="2"/>
        <v>2</v>
      </c>
      <c r="N81" t="str">
        <f t="shared" si="3"/>
        <v>40-49</v>
      </c>
    </row>
    <row r="82" spans="1:14" x14ac:dyDescent="0.25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  <c r="M82">
        <f t="shared" ca="1" si="2"/>
        <v>1</v>
      </c>
      <c r="N82" t="str">
        <f t="shared" si="3"/>
        <v>50-59</v>
      </c>
    </row>
    <row r="83" spans="1:14" x14ac:dyDescent="0.25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  <c r="M83">
        <f t="shared" ca="1" si="2"/>
        <v>5</v>
      </c>
      <c r="N83" t="str">
        <f t="shared" si="3"/>
        <v>30-39</v>
      </c>
    </row>
    <row r="84" spans="1:14" x14ac:dyDescent="0.25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  <c r="M84">
        <f t="shared" ca="1" si="2"/>
        <v>2</v>
      </c>
      <c r="N84" t="str">
        <f t="shared" si="3"/>
        <v>40-49</v>
      </c>
    </row>
    <row r="85" spans="1:14" x14ac:dyDescent="0.25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  <c r="M85">
        <f t="shared" ca="1" si="2"/>
        <v>1</v>
      </c>
      <c r="N85" t="str">
        <f t="shared" si="3"/>
        <v>20-29</v>
      </c>
    </row>
    <row r="86" spans="1:14" x14ac:dyDescent="0.25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  <c r="M86">
        <f t="shared" ca="1" si="2"/>
        <v>3</v>
      </c>
      <c r="N86" t="str">
        <f t="shared" si="3"/>
        <v>40-49</v>
      </c>
    </row>
    <row r="87" spans="1:14" x14ac:dyDescent="0.25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  <c r="M87">
        <f t="shared" ca="1" si="2"/>
        <v>3</v>
      </c>
      <c r="N87" t="str">
        <f t="shared" si="3"/>
        <v>40-49</v>
      </c>
    </row>
    <row r="88" spans="1:14" x14ac:dyDescent="0.25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  <c r="M88">
        <f t="shared" ca="1" si="2"/>
        <v>1</v>
      </c>
      <c r="N88" t="str">
        <f t="shared" si="3"/>
        <v>30-39</v>
      </c>
    </row>
    <row r="89" spans="1:14" x14ac:dyDescent="0.25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  <c r="M89">
        <f t="shared" ca="1" si="2"/>
        <v>4</v>
      </c>
      <c r="N89" t="str">
        <f t="shared" si="3"/>
        <v>40-49</v>
      </c>
    </row>
    <row r="90" spans="1:14" x14ac:dyDescent="0.25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  <c r="M90">
        <f t="shared" ca="1" si="2"/>
        <v>3</v>
      </c>
      <c r="N90" t="str">
        <f t="shared" si="3"/>
        <v>40-49</v>
      </c>
    </row>
    <row r="91" spans="1:14" x14ac:dyDescent="0.25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  <c r="M91">
        <f t="shared" ca="1" si="2"/>
        <v>3</v>
      </c>
      <c r="N91" t="str">
        <f t="shared" si="3"/>
        <v>20-29</v>
      </c>
    </row>
    <row r="92" spans="1:14" x14ac:dyDescent="0.25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  <c r="M92">
        <f t="shared" ca="1" si="2"/>
        <v>3</v>
      </c>
      <c r="N92" t="str">
        <f t="shared" si="3"/>
        <v>30-39</v>
      </c>
    </row>
    <row r="93" spans="1:14" x14ac:dyDescent="0.25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  <c r="M93">
        <f t="shared" ca="1" si="2"/>
        <v>1</v>
      </c>
      <c r="N93" t="str">
        <f t="shared" si="3"/>
        <v>20-29</v>
      </c>
    </row>
    <row r="94" spans="1:14" x14ac:dyDescent="0.25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  <c r="M94">
        <f t="shared" ca="1" si="2"/>
        <v>2</v>
      </c>
      <c r="N94" t="str">
        <f t="shared" si="3"/>
        <v>30-39</v>
      </c>
    </row>
    <row r="95" spans="1:14" x14ac:dyDescent="0.25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  <c r="M95">
        <f t="shared" ca="1" si="2"/>
        <v>2</v>
      </c>
      <c r="N95" t="str">
        <f t="shared" si="3"/>
        <v>20-29</v>
      </c>
    </row>
    <row r="96" spans="1:14" x14ac:dyDescent="0.25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  <c r="M96">
        <f t="shared" ca="1" si="2"/>
        <v>3</v>
      </c>
      <c r="N96" t="str">
        <f t="shared" si="3"/>
        <v>20-29</v>
      </c>
    </row>
    <row r="97" spans="1:14" x14ac:dyDescent="0.25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  <c r="M97">
        <f t="shared" ca="1" si="2"/>
        <v>3</v>
      </c>
      <c r="N97" t="str">
        <f t="shared" si="3"/>
        <v>20-29</v>
      </c>
    </row>
    <row r="98" spans="1:14" x14ac:dyDescent="0.25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  <c r="M98">
        <f t="shared" ca="1" si="2"/>
        <v>5</v>
      </c>
      <c r="N98" t="str">
        <f t="shared" si="3"/>
        <v>30-39</v>
      </c>
    </row>
    <row r="99" spans="1:14" x14ac:dyDescent="0.25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  <c r="M99">
        <f t="shared" ca="1" si="2"/>
        <v>4</v>
      </c>
      <c r="N99" t="str">
        <f t="shared" si="3"/>
        <v>30-39</v>
      </c>
    </row>
    <row r="100" spans="1:14" x14ac:dyDescent="0.25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  <c r="M100">
        <f t="shared" ca="1" si="2"/>
        <v>2</v>
      </c>
      <c r="N100" t="str">
        <f t="shared" si="3"/>
        <v>40-49</v>
      </c>
    </row>
    <row r="101" spans="1:14" x14ac:dyDescent="0.25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  <c r="M101">
        <f t="shared" ca="1" si="2"/>
        <v>2</v>
      </c>
      <c r="N101" t="str">
        <f t="shared" si="3"/>
        <v>30-39</v>
      </c>
    </row>
    <row r="102" spans="1:14" x14ac:dyDescent="0.25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  <c r="M102">
        <f t="shared" ca="1" si="2"/>
        <v>5</v>
      </c>
      <c r="N102" t="str">
        <f t="shared" si="3"/>
        <v>30-39</v>
      </c>
    </row>
    <row r="103" spans="1:14" x14ac:dyDescent="0.25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  <c r="M103">
        <f t="shared" ca="1" si="2"/>
        <v>6</v>
      </c>
      <c r="N103" t="str">
        <f t="shared" si="3"/>
        <v>40-49</v>
      </c>
    </row>
    <row r="104" spans="1:14" x14ac:dyDescent="0.25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  <c r="M104">
        <f t="shared" ca="1" si="2"/>
        <v>2</v>
      </c>
      <c r="N104" t="str">
        <f t="shared" si="3"/>
        <v>50-59</v>
      </c>
    </row>
    <row r="105" spans="1:14" x14ac:dyDescent="0.25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  <c r="M105">
        <f t="shared" ca="1" si="2"/>
        <v>1</v>
      </c>
      <c r="N105" t="str">
        <f t="shared" si="3"/>
        <v>50-59</v>
      </c>
    </row>
    <row r="106" spans="1:14" x14ac:dyDescent="0.25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  <c r="M106">
        <f t="shared" ca="1" si="2"/>
        <v>3</v>
      </c>
      <c r="N106" t="str">
        <f t="shared" si="3"/>
        <v>50-59</v>
      </c>
    </row>
    <row r="107" spans="1:14" x14ac:dyDescent="0.25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  <c r="M107">
        <f t="shared" ca="1" si="2"/>
        <v>1</v>
      </c>
      <c r="N107" t="str">
        <f t="shared" si="3"/>
        <v>40-49</v>
      </c>
    </row>
    <row r="108" spans="1:14" x14ac:dyDescent="0.25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  <c r="M108">
        <f t="shared" ca="1" si="2"/>
        <v>3</v>
      </c>
      <c r="N108" t="str">
        <f t="shared" si="3"/>
        <v>30-39</v>
      </c>
    </row>
    <row r="109" spans="1:14" x14ac:dyDescent="0.25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  <c r="M109">
        <f t="shared" ca="1" si="2"/>
        <v>2</v>
      </c>
      <c r="N109" t="str">
        <f t="shared" si="3"/>
        <v>40-49</v>
      </c>
    </row>
    <row r="110" spans="1:14" x14ac:dyDescent="0.25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  <c r="M110">
        <f t="shared" ca="1" si="2"/>
        <v>2</v>
      </c>
      <c r="N110" t="str">
        <f t="shared" si="3"/>
        <v>30-39</v>
      </c>
    </row>
    <row r="111" spans="1:14" x14ac:dyDescent="0.25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  <c r="M111">
        <f t="shared" ca="1" si="2"/>
        <v>2</v>
      </c>
      <c r="N111" t="str">
        <f t="shared" si="3"/>
        <v>30-39</v>
      </c>
    </row>
    <row r="112" spans="1:14" x14ac:dyDescent="0.25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  <c r="M112">
        <f t="shared" ca="1" si="2"/>
        <v>6</v>
      </c>
      <c r="N112" t="str">
        <f t="shared" si="3"/>
        <v>30-39</v>
      </c>
    </row>
    <row r="113" spans="1:14" x14ac:dyDescent="0.25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  <c r="M113">
        <f t="shared" ca="1" si="2"/>
        <v>2</v>
      </c>
      <c r="N113" t="str">
        <f t="shared" si="3"/>
        <v>20-29</v>
      </c>
    </row>
    <row r="114" spans="1:14" x14ac:dyDescent="0.25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  <c r="M114">
        <f t="shared" ca="1" si="2"/>
        <v>1</v>
      </c>
      <c r="N114" t="str">
        <f t="shared" si="3"/>
        <v>30-39</v>
      </c>
    </row>
    <row r="115" spans="1:14" x14ac:dyDescent="0.25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  <c r="M115">
        <f t="shared" ca="1" si="2"/>
        <v>5</v>
      </c>
      <c r="N115" t="str">
        <f t="shared" si="3"/>
        <v>30-39</v>
      </c>
    </row>
    <row r="116" spans="1:14" x14ac:dyDescent="0.25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  <c r="M116">
        <f t="shared" ca="1" si="2"/>
        <v>2</v>
      </c>
      <c r="N116" t="str">
        <f t="shared" si="3"/>
        <v>40-49</v>
      </c>
    </row>
    <row r="117" spans="1:14" x14ac:dyDescent="0.25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  <c r="M117">
        <f t="shared" ca="1" si="2"/>
        <v>1</v>
      </c>
      <c r="N117" t="str">
        <f t="shared" si="3"/>
        <v>50-59</v>
      </c>
    </row>
    <row r="118" spans="1:14" x14ac:dyDescent="0.25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  <c r="M118">
        <f t="shared" ca="1" si="2"/>
        <v>6</v>
      </c>
      <c r="N118" t="str">
        <f t="shared" si="3"/>
        <v>30-39</v>
      </c>
    </row>
    <row r="119" spans="1:14" x14ac:dyDescent="0.25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  <c r="M119">
        <f t="shared" ca="1" si="2"/>
        <v>3</v>
      </c>
      <c r="N119" t="str">
        <f t="shared" si="3"/>
        <v>40-49</v>
      </c>
    </row>
    <row r="120" spans="1:14" x14ac:dyDescent="0.25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  <c r="M120">
        <f t="shared" ca="1" si="2"/>
        <v>1</v>
      </c>
      <c r="N120" t="str">
        <f t="shared" si="3"/>
        <v>20-29</v>
      </c>
    </row>
    <row r="121" spans="1:14" x14ac:dyDescent="0.25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  <c r="M121">
        <f t="shared" ca="1" si="2"/>
        <v>4</v>
      </c>
      <c r="N121" t="str">
        <f t="shared" si="3"/>
        <v>40-49</v>
      </c>
    </row>
    <row r="122" spans="1:14" x14ac:dyDescent="0.25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  <c r="M122">
        <f t="shared" ca="1" si="2"/>
        <v>5</v>
      </c>
      <c r="N122" t="str">
        <f t="shared" si="3"/>
        <v>40-49</v>
      </c>
    </row>
    <row r="123" spans="1:14" x14ac:dyDescent="0.25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  <c r="M123">
        <f t="shared" ca="1" si="2"/>
        <v>3</v>
      </c>
      <c r="N123" t="str">
        <f t="shared" si="3"/>
        <v>30-39</v>
      </c>
    </row>
    <row r="124" spans="1:14" x14ac:dyDescent="0.25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  <c r="M124">
        <f t="shared" ca="1" si="2"/>
        <v>3</v>
      </c>
      <c r="N124" t="str">
        <f t="shared" si="3"/>
        <v>40-49</v>
      </c>
    </row>
    <row r="125" spans="1:14" x14ac:dyDescent="0.25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  <c r="M125">
        <f t="shared" ca="1" si="2"/>
        <v>1</v>
      </c>
      <c r="N125" t="str">
        <f t="shared" si="3"/>
        <v>40-49</v>
      </c>
    </row>
    <row r="126" spans="1:14" x14ac:dyDescent="0.25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  <c r="M126">
        <f t="shared" ca="1" si="2"/>
        <v>2</v>
      </c>
      <c r="N126" t="str">
        <f t="shared" si="3"/>
        <v>20-29</v>
      </c>
    </row>
    <row r="127" spans="1:14" x14ac:dyDescent="0.25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  <c r="M127">
        <f t="shared" ca="1" si="2"/>
        <v>2</v>
      </c>
      <c r="N127" t="str">
        <f t="shared" si="3"/>
        <v>30-39</v>
      </c>
    </row>
    <row r="128" spans="1:14" x14ac:dyDescent="0.25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  <c r="M128">
        <f t="shared" ca="1" si="2"/>
        <v>3</v>
      </c>
      <c r="N128" t="str">
        <f t="shared" si="3"/>
        <v>20-29</v>
      </c>
    </row>
    <row r="129" spans="1:14" x14ac:dyDescent="0.25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  <c r="M129">
        <f t="shared" ca="1" si="2"/>
        <v>6</v>
      </c>
      <c r="N129" t="str">
        <f t="shared" si="3"/>
        <v>30-39</v>
      </c>
    </row>
    <row r="130" spans="1:14" x14ac:dyDescent="0.25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  <c r="M130">
        <f t="shared" ref="M130:M193" ca="1" si="4">IF(I130="",DATEDIF(H130,TODAY(),"Y"),DATEDIF(H130,I130,"Y"))</f>
        <v>5</v>
      </c>
      <c r="N130" t="str">
        <f t="shared" ref="N130:N193" si="5">IF(D130&lt;30,"20-29",IF(D130&lt;40,"30-39",IF(D130&lt;50,"40-49",IF(D130&lt;60,"50-59","+60"))))</f>
        <v>20-29</v>
      </c>
    </row>
    <row r="131" spans="1:14" x14ac:dyDescent="0.25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  <c r="M131">
        <f t="shared" ca="1" si="4"/>
        <v>4</v>
      </c>
      <c r="N131" t="str">
        <f t="shared" si="5"/>
        <v>20-29</v>
      </c>
    </row>
    <row r="132" spans="1:14" x14ac:dyDescent="0.25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  <c r="M132">
        <f t="shared" ca="1" si="4"/>
        <v>2</v>
      </c>
      <c r="N132" t="str">
        <f t="shared" si="5"/>
        <v>20-29</v>
      </c>
    </row>
    <row r="133" spans="1:14" x14ac:dyDescent="0.25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  <c r="M133">
        <f t="shared" ca="1" si="4"/>
        <v>2</v>
      </c>
      <c r="N133" t="str">
        <f t="shared" si="5"/>
        <v>30-39</v>
      </c>
    </row>
    <row r="134" spans="1:14" x14ac:dyDescent="0.25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  <c r="M134">
        <f t="shared" ca="1" si="4"/>
        <v>2</v>
      </c>
      <c r="N134" t="str">
        <f t="shared" si="5"/>
        <v>30-39</v>
      </c>
    </row>
    <row r="135" spans="1:14" x14ac:dyDescent="0.25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  <c r="M135">
        <f t="shared" ca="1" si="4"/>
        <v>6</v>
      </c>
      <c r="N135" t="str">
        <f t="shared" si="5"/>
        <v>40-49</v>
      </c>
    </row>
    <row r="136" spans="1:14" x14ac:dyDescent="0.25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  <c r="M136">
        <f t="shared" ca="1" si="4"/>
        <v>2</v>
      </c>
      <c r="N136" t="str">
        <f t="shared" si="5"/>
        <v>30-39</v>
      </c>
    </row>
    <row r="137" spans="1:14" x14ac:dyDescent="0.25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  <c r="M137">
        <f t="shared" ca="1" si="4"/>
        <v>4</v>
      </c>
      <c r="N137" t="str">
        <f t="shared" si="5"/>
        <v>30-39</v>
      </c>
    </row>
    <row r="138" spans="1:14" x14ac:dyDescent="0.25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  <c r="M138">
        <f t="shared" ca="1" si="4"/>
        <v>3</v>
      </c>
      <c r="N138" t="str">
        <f t="shared" si="5"/>
        <v>40-49</v>
      </c>
    </row>
    <row r="139" spans="1:14" x14ac:dyDescent="0.25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  <c r="M139">
        <f t="shared" ca="1" si="4"/>
        <v>1</v>
      </c>
      <c r="N139" t="str">
        <f t="shared" si="5"/>
        <v>50-59</v>
      </c>
    </row>
    <row r="140" spans="1:14" x14ac:dyDescent="0.25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  <c r="M140">
        <f t="shared" ca="1" si="4"/>
        <v>3</v>
      </c>
      <c r="N140" t="str">
        <f t="shared" si="5"/>
        <v>50-59</v>
      </c>
    </row>
    <row r="141" spans="1:14" x14ac:dyDescent="0.25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  <c r="M141">
        <f t="shared" ca="1" si="4"/>
        <v>2</v>
      </c>
      <c r="N141" t="str">
        <f t="shared" si="5"/>
        <v>50-59</v>
      </c>
    </row>
    <row r="142" spans="1:14" x14ac:dyDescent="0.25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  <c r="M142">
        <f t="shared" ca="1" si="4"/>
        <v>2</v>
      </c>
      <c r="N142" t="str">
        <f t="shared" si="5"/>
        <v>40-49</v>
      </c>
    </row>
    <row r="143" spans="1:14" x14ac:dyDescent="0.25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  <c r="M143">
        <f t="shared" ca="1" si="4"/>
        <v>2</v>
      </c>
      <c r="N143" t="str">
        <f t="shared" si="5"/>
        <v>30-39</v>
      </c>
    </row>
    <row r="144" spans="1:14" x14ac:dyDescent="0.25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  <c r="M144">
        <f t="shared" ca="1" si="4"/>
        <v>6</v>
      </c>
      <c r="N144" t="str">
        <f t="shared" si="5"/>
        <v>40-49</v>
      </c>
    </row>
    <row r="145" spans="1:14" x14ac:dyDescent="0.25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  <c r="M145">
        <f t="shared" ca="1" si="4"/>
        <v>2</v>
      </c>
      <c r="N145" t="str">
        <f t="shared" si="5"/>
        <v>30-39</v>
      </c>
    </row>
    <row r="146" spans="1:14" x14ac:dyDescent="0.25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  <c r="M146">
        <f t="shared" ca="1" si="4"/>
        <v>1</v>
      </c>
      <c r="N146" t="str">
        <f t="shared" si="5"/>
        <v>30-39</v>
      </c>
    </row>
    <row r="147" spans="1:14" x14ac:dyDescent="0.25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  <c r="M147">
        <f t="shared" ca="1" si="4"/>
        <v>5</v>
      </c>
      <c r="N147" t="str">
        <f t="shared" si="5"/>
        <v>30-39</v>
      </c>
    </row>
    <row r="148" spans="1:14" x14ac:dyDescent="0.25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  <c r="M148">
        <f t="shared" ca="1" si="4"/>
        <v>2</v>
      </c>
      <c r="N148" t="str">
        <f t="shared" si="5"/>
        <v>20-29</v>
      </c>
    </row>
    <row r="149" spans="1:14" x14ac:dyDescent="0.25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  <c r="M149">
        <f t="shared" ca="1" si="4"/>
        <v>1</v>
      </c>
      <c r="N149" t="str">
        <f t="shared" si="5"/>
        <v>30-39</v>
      </c>
    </row>
    <row r="150" spans="1:14" x14ac:dyDescent="0.25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  <c r="M150">
        <f t="shared" ca="1" si="4"/>
        <v>6</v>
      </c>
      <c r="N150" t="str">
        <f t="shared" si="5"/>
        <v>30-39</v>
      </c>
    </row>
    <row r="151" spans="1:14" x14ac:dyDescent="0.25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  <c r="M151">
        <f t="shared" ca="1" si="4"/>
        <v>3</v>
      </c>
      <c r="N151" t="str">
        <f t="shared" si="5"/>
        <v>40-49</v>
      </c>
    </row>
    <row r="152" spans="1:14" x14ac:dyDescent="0.25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  <c r="M152">
        <f t="shared" ca="1" si="4"/>
        <v>1</v>
      </c>
      <c r="N152" t="str">
        <f t="shared" si="5"/>
        <v>50-59</v>
      </c>
    </row>
    <row r="153" spans="1:14" x14ac:dyDescent="0.25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  <c r="M153">
        <f t="shared" ca="1" si="4"/>
        <v>4</v>
      </c>
      <c r="N153" t="str">
        <f t="shared" si="5"/>
        <v>30-39</v>
      </c>
    </row>
    <row r="154" spans="1:14" x14ac:dyDescent="0.25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  <c r="M154">
        <f t="shared" ca="1" si="4"/>
        <v>5</v>
      </c>
      <c r="N154" t="str">
        <f t="shared" si="5"/>
        <v>40-49</v>
      </c>
    </row>
    <row r="155" spans="1:14" x14ac:dyDescent="0.25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  <c r="M155">
        <f t="shared" ca="1" si="4"/>
        <v>3</v>
      </c>
      <c r="N155" t="str">
        <f t="shared" si="5"/>
        <v>20-29</v>
      </c>
    </row>
    <row r="156" spans="1:14" x14ac:dyDescent="0.25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  <c r="M156">
        <f t="shared" ca="1" si="4"/>
        <v>3</v>
      </c>
      <c r="N156" t="str">
        <f t="shared" si="5"/>
        <v>40-49</v>
      </c>
    </row>
    <row r="157" spans="1:14" x14ac:dyDescent="0.25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  <c r="M157">
        <f t="shared" ca="1" si="4"/>
        <v>1</v>
      </c>
      <c r="N157" t="str">
        <f t="shared" si="5"/>
        <v>40-49</v>
      </c>
    </row>
    <row r="158" spans="1:14" x14ac:dyDescent="0.25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  <c r="M158">
        <f t="shared" ca="1" si="4"/>
        <v>2</v>
      </c>
      <c r="N158" t="str">
        <f t="shared" si="5"/>
        <v>30-39</v>
      </c>
    </row>
    <row r="159" spans="1:14" x14ac:dyDescent="0.25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  <c r="M159">
        <f t="shared" ca="1" si="4"/>
        <v>2</v>
      </c>
      <c r="N159" t="str">
        <f t="shared" si="5"/>
        <v>40-49</v>
      </c>
    </row>
    <row r="160" spans="1:14" x14ac:dyDescent="0.25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  <c r="M160">
        <f t="shared" ca="1" si="4"/>
        <v>3</v>
      </c>
      <c r="N160" t="str">
        <f t="shared" si="5"/>
        <v>40-49</v>
      </c>
    </row>
    <row r="161" spans="1:14" x14ac:dyDescent="0.25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  <c r="M161">
        <f t="shared" ca="1" si="4"/>
        <v>6</v>
      </c>
      <c r="N161" t="str">
        <f t="shared" si="5"/>
        <v>20-29</v>
      </c>
    </row>
    <row r="162" spans="1:14" x14ac:dyDescent="0.25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  <c r="M162">
        <f t="shared" ca="1" si="4"/>
        <v>5</v>
      </c>
      <c r="N162" t="str">
        <f t="shared" si="5"/>
        <v>30-39</v>
      </c>
    </row>
    <row r="163" spans="1:14" x14ac:dyDescent="0.25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  <c r="M163">
        <f t="shared" ca="1" si="4"/>
        <v>4</v>
      </c>
      <c r="N163" t="str">
        <f t="shared" si="5"/>
        <v>20-29</v>
      </c>
    </row>
    <row r="164" spans="1:14" x14ac:dyDescent="0.25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  <c r="M164">
        <f t="shared" ca="1" si="4"/>
        <v>2</v>
      </c>
      <c r="N164" t="str">
        <f t="shared" si="5"/>
        <v>30-39</v>
      </c>
    </row>
    <row r="165" spans="1:14" x14ac:dyDescent="0.25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  <c r="M165">
        <f t="shared" ca="1" si="4"/>
        <v>2</v>
      </c>
      <c r="N165" t="str">
        <f t="shared" si="5"/>
        <v>20-29</v>
      </c>
    </row>
    <row r="166" spans="1:14" x14ac:dyDescent="0.25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  <c r="M166">
        <f t="shared" ca="1" si="4"/>
        <v>5</v>
      </c>
      <c r="N166" t="str">
        <f t="shared" si="5"/>
        <v>20-29</v>
      </c>
    </row>
    <row r="167" spans="1:14" x14ac:dyDescent="0.25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  <c r="M167">
        <f t="shared" ca="1" si="4"/>
        <v>6</v>
      </c>
      <c r="N167" t="str">
        <f t="shared" si="5"/>
        <v>20-29</v>
      </c>
    </row>
    <row r="168" spans="1:14" x14ac:dyDescent="0.25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  <c r="M168">
        <f t="shared" ca="1" si="4"/>
        <v>2</v>
      </c>
      <c r="N168" t="str">
        <f t="shared" si="5"/>
        <v>30-39</v>
      </c>
    </row>
    <row r="169" spans="1:14" x14ac:dyDescent="0.25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  <c r="M169">
        <f t="shared" ca="1" si="4"/>
        <v>4</v>
      </c>
      <c r="N169" t="str">
        <f t="shared" si="5"/>
        <v>30-39</v>
      </c>
    </row>
    <row r="170" spans="1:14" x14ac:dyDescent="0.25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  <c r="M170">
        <f t="shared" ca="1" si="4"/>
        <v>3</v>
      </c>
      <c r="N170" t="str">
        <f t="shared" si="5"/>
        <v>40-49</v>
      </c>
    </row>
    <row r="171" spans="1:14" x14ac:dyDescent="0.25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  <c r="M171">
        <f t="shared" ca="1" si="4"/>
        <v>1</v>
      </c>
      <c r="N171" t="str">
        <f t="shared" si="5"/>
        <v>30-39</v>
      </c>
    </row>
    <row r="172" spans="1:14" x14ac:dyDescent="0.25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  <c r="M172">
        <f t="shared" ca="1" si="4"/>
        <v>3</v>
      </c>
      <c r="N172" t="str">
        <f t="shared" si="5"/>
        <v>30-39</v>
      </c>
    </row>
    <row r="173" spans="1:14" x14ac:dyDescent="0.25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  <c r="M173">
        <f t="shared" ca="1" si="4"/>
        <v>2</v>
      </c>
      <c r="N173" t="str">
        <f t="shared" si="5"/>
        <v>40-49</v>
      </c>
    </row>
    <row r="174" spans="1:14" x14ac:dyDescent="0.25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  <c r="M174">
        <f t="shared" ca="1" si="4"/>
        <v>1</v>
      </c>
      <c r="N174" t="str">
        <f t="shared" si="5"/>
        <v>50-59</v>
      </c>
    </row>
    <row r="175" spans="1:14" x14ac:dyDescent="0.25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  <c r="M175">
        <f t="shared" ca="1" si="4"/>
        <v>2</v>
      </c>
      <c r="N175" t="str">
        <f t="shared" si="5"/>
        <v>50-59</v>
      </c>
    </row>
    <row r="176" spans="1:14" x14ac:dyDescent="0.25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  <c r="M176">
        <f t="shared" ca="1" si="4"/>
        <v>6</v>
      </c>
      <c r="N176" t="str">
        <f t="shared" si="5"/>
        <v>50-59</v>
      </c>
    </row>
    <row r="177" spans="1:14" x14ac:dyDescent="0.25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  <c r="M177">
        <f t="shared" ca="1" si="4"/>
        <v>2</v>
      </c>
      <c r="N177" t="str">
        <f t="shared" si="5"/>
        <v>40-49</v>
      </c>
    </row>
    <row r="178" spans="1:14" x14ac:dyDescent="0.25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  <c r="M178">
        <f t="shared" ca="1" si="4"/>
        <v>1</v>
      </c>
      <c r="N178" t="str">
        <f t="shared" si="5"/>
        <v>30-39</v>
      </c>
    </row>
    <row r="179" spans="1:14" x14ac:dyDescent="0.25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  <c r="M179">
        <f t="shared" ca="1" si="4"/>
        <v>5</v>
      </c>
      <c r="N179" t="str">
        <f t="shared" si="5"/>
        <v>40-49</v>
      </c>
    </row>
    <row r="180" spans="1:14" x14ac:dyDescent="0.25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  <c r="M180">
        <f t="shared" ca="1" si="4"/>
        <v>2</v>
      </c>
      <c r="N180" t="str">
        <f t="shared" si="5"/>
        <v>30-39</v>
      </c>
    </row>
    <row r="181" spans="1:14" x14ac:dyDescent="0.25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  <c r="M181">
        <f t="shared" ca="1" si="4"/>
        <v>1</v>
      </c>
      <c r="N181" t="str">
        <f t="shared" si="5"/>
        <v>30-39</v>
      </c>
    </row>
    <row r="182" spans="1:14" x14ac:dyDescent="0.25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  <c r="M182">
        <f t="shared" ca="1" si="4"/>
        <v>6</v>
      </c>
      <c r="N182" t="str">
        <f t="shared" si="5"/>
        <v>30-39</v>
      </c>
    </row>
    <row r="183" spans="1:14" x14ac:dyDescent="0.25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  <c r="M183">
        <f t="shared" ca="1" si="4"/>
        <v>3</v>
      </c>
      <c r="N183" t="str">
        <f t="shared" si="5"/>
        <v>20-29</v>
      </c>
    </row>
    <row r="184" spans="1:14" x14ac:dyDescent="0.25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  <c r="M184">
        <f t="shared" ca="1" si="4"/>
        <v>1</v>
      </c>
      <c r="N184" t="str">
        <f t="shared" si="5"/>
        <v>30-39</v>
      </c>
    </row>
    <row r="185" spans="1:14" x14ac:dyDescent="0.25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  <c r="M185">
        <f t="shared" ca="1" si="4"/>
        <v>4</v>
      </c>
      <c r="N185" t="str">
        <f t="shared" si="5"/>
        <v>30-39</v>
      </c>
    </row>
    <row r="186" spans="1:14" x14ac:dyDescent="0.25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  <c r="M186">
        <f t="shared" ca="1" si="4"/>
        <v>5</v>
      </c>
      <c r="N186" t="str">
        <f t="shared" si="5"/>
        <v>40-49</v>
      </c>
    </row>
    <row r="187" spans="1:14" x14ac:dyDescent="0.25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  <c r="M187">
        <f t="shared" ca="1" si="4"/>
        <v>3</v>
      </c>
      <c r="N187" t="str">
        <f t="shared" si="5"/>
        <v>50-59</v>
      </c>
    </row>
    <row r="188" spans="1:14" x14ac:dyDescent="0.25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  <c r="M188">
        <f t="shared" ca="1" si="4"/>
        <v>3</v>
      </c>
      <c r="N188" t="str">
        <f t="shared" si="5"/>
        <v>30-39</v>
      </c>
    </row>
    <row r="189" spans="1:14" x14ac:dyDescent="0.25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  <c r="M189">
        <f t="shared" ca="1" si="4"/>
        <v>1</v>
      </c>
      <c r="N189" t="str">
        <f t="shared" si="5"/>
        <v>40-49</v>
      </c>
    </row>
    <row r="190" spans="1:14" x14ac:dyDescent="0.25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  <c r="M190">
        <f t="shared" ca="1" si="4"/>
        <v>2</v>
      </c>
      <c r="N190" t="str">
        <f t="shared" si="5"/>
        <v>20-29</v>
      </c>
    </row>
    <row r="191" spans="1:14" x14ac:dyDescent="0.25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  <c r="M191">
        <f t="shared" ca="1" si="4"/>
        <v>2</v>
      </c>
      <c r="N191" t="str">
        <f t="shared" si="5"/>
        <v>40-49</v>
      </c>
    </row>
    <row r="192" spans="1:14" x14ac:dyDescent="0.25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  <c r="M192">
        <f t="shared" ca="1" si="4"/>
        <v>3</v>
      </c>
      <c r="N192" t="str">
        <f t="shared" si="5"/>
        <v>40-49</v>
      </c>
    </row>
    <row r="193" spans="1:14" x14ac:dyDescent="0.25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  <c r="M193">
        <f t="shared" ca="1" si="4"/>
        <v>6</v>
      </c>
      <c r="N193" t="str">
        <f t="shared" si="5"/>
        <v>40-49</v>
      </c>
    </row>
    <row r="194" spans="1:14" x14ac:dyDescent="0.25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  <c r="M194">
        <f t="shared" ref="M194:M257" ca="1" si="6">IF(I194="",DATEDIF(H194,TODAY(),"Y"),DATEDIF(H194,I194,"Y"))</f>
        <v>5</v>
      </c>
      <c r="N194" t="str">
        <f t="shared" ref="N194:N257" si="7">IF(D194&lt;30,"20-29",IF(D194&lt;40,"30-39",IF(D194&lt;50,"40-49",IF(D194&lt;60,"50-59","+60"))))</f>
        <v>40-49</v>
      </c>
    </row>
    <row r="195" spans="1:14" x14ac:dyDescent="0.25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  <c r="M195">
        <f t="shared" ca="1" si="6"/>
        <v>4</v>
      </c>
      <c r="N195" t="str">
        <f t="shared" si="7"/>
        <v>40-49</v>
      </c>
    </row>
    <row r="196" spans="1:14" x14ac:dyDescent="0.25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  <c r="M196">
        <f t="shared" ca="1" si="6"/>
        <v>2</v>
      </c>
      <c r="N196" t="str">
        <f t="shared" si="7"/>
        <v>20-29</v>
      </c>
    </row>
    <row r="197" spans="1:14" x14ac:dyDescent="0.25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  <c r="M197">
        <f t="shared" ca="1" si="6"/>
        <v>2</v>
      </c>
      <c r="N197" t="str">
        <f t="shared" si="7"/>
        <v>30-39</v>
      </c>
    </row>
    <row r="198" spans="1:14" x14ac:dyDescent="0.25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  <c r="M198">
        <f t="shared" ca="1" si="6"/>
        <v>5</v>
      </c>
      <c r="N198" t="str">
        <f t="shared" si="7"/>
        <v>20-29</v>
      </c>
    </row>
    <row r="199" spans="1:14" x14ac:dyDescent="0.25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  <c r="M199">
        <f t="shared" ca="1" si="6"/>
        <v>6</v>
      </c>
      <c r="N199" t="str">
        <f t="shared" si="7"/>
        <v>30-39</v>
      </c>
    </row>
    <row r="200" spans="1:14" x14ac:dyDescent="0.25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  <c r="M200">
        <f t="shared" ca="1" si="6"/>
        <v>2</v>
      </c>
      <c r="N200" t="str">
        <f t="shared" si="7"/>
        <v>20-29</v>
      </c>
    </row>
    <row r="201" spans="1:14" x14ac:dyDescent="0.25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  <c r="M201">
        <f t="shared" ca="1" si="6"/>
        <v>4</v>
      </c>
      <c r="N201" t="str">
        <f t="shared" si="7"/>
        <v>20-29</v>
      </c>
    </row>
    <row r="202" spans="1:14" x14ac:dyDescent="0.25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  <c r="M202">
        <f t="shared" ca="1" si="6"/>
        <v>1</v>
      </c>
      <c r="N202" t="str">
        <f t="shared" si="7"/>
        <v>20-29</v>
      </c>
    </row>
    <row r="203" spans="1:14" x14ac:dyDescent="0.25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  <c r="M203">
        <f t="shared" ca="1" si="6"/>
        <v>1</v>
      </c>
      <c r="N203" t="str">
        <f t="shared" si="7"/>
        <v>30-39</v>
      </c>
    </row>
    <row r="204" spans="1:14" x14ac:dyDescent="0.25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  <c r="M204">
        <f t="shared" ca="1" si="6"/>
        <v>3</v>
      </c>
      <c r="N204" t="str">
        <f t="shared" si="7"/>
        <v>40-49</v>
      </c>
    </row>
    <row r="205" spans="1:14" x14ac:dyDescent="0.25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  <c r="M205">
        <f t="shared" ca="1" si="6"/>
        <v>2</v>
      </c>
      <c r="N205" t="str">
        <f t="shared" si="7"/>
        <v>40-49</v>
      </c>
    </row>
    <row r="206" spans="1:14" x14ac:dyDescent="0.25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  <c r="M206">
        <f t="shared" ca="1" si="6"/>
        <v>2</v>
      </c>
      <c r="N206" t="str">
        <f t="shared" si="7"/>
        <v>40-49</v>
      </c>
    </row>
    <row r="207" spans="1:14" x14ac:dyDescent="0.25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  <c r="M207">
        <f t="shared" ca="1" si="6"/>
        <v>2</v>
      </c>
      <c r="N207" t="str">
        <f t="shared" si="7"/>
        <v>30-39</v>
      </c>
    </row>
    <row r="208" spans="1:14" x14ac:dyDescent="0.25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  <c r="M208">
        <f t="shared" ca="1" si="6"/>
        <v>6</v>
      </c>
      <c r="N208" t="str">
        <f t="shared" si="7"/>
        <v>40-49</v>
      </c>
    </row>
    <row r="209" spans="1:14" x14ac:dyDescent="0.25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  <c r="M209">
        <f t="shared" ca="1" si="6"/>
        <v>2</v>
      </c>
      <c r="N209" t="str">
        <f t="shared" si="7"/>
        <v>50-59</v>
      </c>
    </row>
    <row r="210" spans="1:14" x14ac:dyDescent="0.25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  <c r="M210">
        <f t="shared" ca="1" si="6"/>
        <v>1</v>
      </c>
      <c r="N210" t="str">
        <f t="shared" si="7"/>
        <v>50-59</v>
      </c>
    </row>
    <row r="211" spans="1:14" x14ac:dyDescent="0.25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  <c r="M211">
        <f t="shared" ca="1" si="6"/>
        <v>2</v>
      </c>
      <c r="N211" t="str">
        <f t="shared" si="7"/>
        <v>50-59</v>
      </c>
    </row>
    <row r="212" spans="1:14" x14ac:dyDescent="0.25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  <c r="M212">
        <f t="shared" ca="1" si="6"/>
        <v>2</v>
      </c>
      <c r="N212" t="str">
        <f t="shared" si="7"/>
        <v>40-49</v>
      </c>
    </row>
    <row r="213" spans="1:14" x14ac:dyDescent="0.25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  <c r="M213">
        <f t="shared" ca="1" si="6"/>
        <v>2</v>
      </c>
      <c r="N213" t="str">
        <f t="shared" si="7"/>
        <v>30-39</v>
      </c>
    </row>
    <row r="214" spans="1:14" x14ac:dyDescent="0.25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  <c r="M214">
        <f t="shared" ca="1" si="6"/>
        <v>6</v>
      </c>
      <c r="N214" t="str">
        <f t="shared" si="7"/>
        <v>40-49</v>
      </c>
    </row>
    <row r="215" spans="1:14" x14ac:dyDescent="0.25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  <c r="M215">
        <f t="shared" ca="1" si="6"/>
        <v>3</v>
      </c>
      <c r="N215" t="str">
        <f t="shared" si="7"/>
        <v>30-39</v>
      </c>
    </row>
    <row r="216" spans="1:14" x14ac:dyDescent="0.25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  <c r="M216">
        <f t="shared" ca="1" si="6"/>
        <v>1</v>
      </c>
      <c r="N216" t="str">
        <f t="shared" si="7"/>
        <v>30-39</v>
      </c>
    </row>
    <row r="217" spans="1:14" x14ac:dyDescent="0.25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  <c r="M217">
        <f t="shared" ca="1" si="6"/>
        <v>1</v>
      </c>
      <c r="N217" t="str">
        <f t="shared" si="7"/>
        <v>30-39</v>
      </c>
    </row>
    <row r="218" spans="1:14" x14ac:dyDescent="0.25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  <c r="M218">
        <f t="shared" ca="1" si="6"/>
        <v>5</v>
      </c>
      <c r="N218" t="str">
        <f t="shared" si="7"/>
        <v>30-39</v>
      </c>
    </row>
    <row r="219" spans="1:14" x14ac:dyDescent="0.25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  <c r="M219">
        <f t="shared" ca="1" si="6"/>
        <v>3</v>
      </c>
      <c r="N219" t="str">
        <f t="shared" si="7"/>
        <v>30-39</v>
      </c>
    </row>
    <row r="220" spans="1:14" x14ac:dyDescent="0.25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  <c r="M220">
        <f t="shared" ca="1" si="6"/>
        <v>3</v>
      </c>
      <c r="N220" t="str">
        <f t="shared" si="7"/>
        <v>30-39</v>
      </c>
    </row>
    <row r="221" spans="1:14" x14ac:dyDescent="0.25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  <c r="M221">
        <f t="shared" ca="1" si="6"/>
        <v>1</v>
      </c>
      <c r="N221" t="str">
        <f t="shared" si="7"/>
        <v>40-49</v>
      </c>
    </row>
    <row r="222" spans="1:14" x14ac:dyDescent="0.25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  <c r="M222">
        <f t="shared" ca="1" si="6"/>
        <v>2</v>
      </c>
      <c r="N222" t="str">
        <f t="shared" si="7"/>
        <v>50-59</v>
      </c>
    </row>
    <row r="223" spans="1:14" x14ac:dyDescent="0.25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  <c r="M223">
        <f t="shared" ca="1" si="6"/>
        <v>2</v>
      </c>
      <c r="N223" t="str">
        <f t="shared" si="7"/>
        <v>30-39</v>
      </c>
    </row>
    <row r="224" spans="1:14" x14ac:dyDescent="0.25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  <c r="M224">
        <f t="shared" ca="1" si="6"/>
        <v>3</v>
      </c>
      <c r="N224" t="str">
        <f t="shared" si="7"/>
        <v>40-49</v>
      </c>
    </row>
    <row r="225" spans="1:14" x14ac:dyDescent="0.25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  <c r="M225">
        <f t="shared" ca="1" si="6"/>
        <v>6</v>
      </c>
      <c r="N225" t="str">
        <f t="shared" si="7"/>
        <v>30-39</v>
      </c>
    </row>
    <row r="226" spans="1:14" x14ac:dyDescent="0.25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  <c r="M226">
        <f t="shared" ca="1" si="6"/>
        <v>5</v>
      </c>
      <c r="N226" t="str">
        <f t="shared" si="7"/>
        <v>40-49</v>
      </c>
    </row>
    <row r="227" spans="1:14" x14ac:dyDescent="0.25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  <c r="M227">
        <f t="shared" ca="1" si="6"/>
        <v>4</v>
      </c>
      <c r="N227" t="str">
        <f t="shared" si="7"/>
        <v>40-49</v>
      </c>
    </row>
    <row r="228" spans="1:14" x14ac:dyDescent="0.25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  <c r="M228">
        <f t="shared" ca="1" si="6"/>
        <v>2</v>
      </c>
      <c r="N228" t="str">
        <f t="shared" si="7"/>
        <v>30-39</v>
      </c>
    </row>
    <row r="229" spans="1:14" x14ac:dyDescent="0.25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  <c r="M229">
        <f t="shared" ca="1" si="6"/>
        <v>2</v>
      </c>
      <c r="N229" t="str">
        <f t="shared" si="7"/>
        <v>40-49</v>
      </c>
    </row>
    <row r="230" spans="1:14" x14ac:dyDescent="0.25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  <c r="M230">
        <f t="shared" ca="1" si="6"/>
        <v>5</v>
      </c>
      <c r="N230" t="str">
        <f t="shared" si="7"/>
        <v>40-49</v>
      </c>
    </row>
    <row r="231" spans="1:14" x14ac:dyDescent="0.25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  <c r="M231">
        <f t="shared" ca="1" si="6"/>
        <v>6</v>
      </c>
      <c r="N231" t="str">
        <f t="shared" si="7"/>
        <v>30-39</v>
      </c>
    </row>
    <row r="232" spans="1:14" x14ac:dyDescent="0.25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  <c r="M232">
        <f t="shared" ca="1" si="6"/>
        <v>2</v>
      </c>
      <c r="N232" t="str">
        <f t="shared" si="7"/>
        <v>30-39</v>
      </c>
    </row>
    <row r="233" spans="1:14" x14ac:dyDescent="0.25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  <c r="M233">
        <f t="shared" ca="1" si="6"/>
        <v>4</v>
      </c>
      <c r="N233" t="str">
        <f t="shared" si="7"/>
        <v>30-39</v>
      </c>
    </row>
    <row r="234" spans="1:14" x14ac:dyDescent="0.25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  <c r="M234">
        <f t="shared" ca="1" si="6"/>
        <v>3</v>
      </c>
      <c r="N234" t="str">
        <f t="shared" si="7"/>
        <v>30-39</v>
      </c>
    </row>
    <row r="235" spans="1:14" x14ac:dyDescent="0.25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  <c r="M235">
        <f t="shared" ca="1" si="6"/>
        <v>1</v>
      </c>
      <c r="N235" t="str">
        <f t="shared" si="7"/>
        <v>30-39</v>
      </c>
    </row>
    <row r="236" spans="1:14" x14ac:dyDescent="0.25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  <c r="M236">
        <f t="shared" ca="1" si="6"/>
        <v>3</v>
      </c>
      <c r="N236" t="str">
        <f t="shared" si="7"/>
        <v>30-39</v>
      </c>
    </row>
    <row r="237" spans="1:14" x14ac:dyDescent="0.25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  <c r="M237">
        <f t="shared" ca="1" si="6"/>
        <v>1</v>
      </c>
      <c r="N237" t="str">
        <f t="shared" si="7"/>
        <v>20-29</v>
      </c>
    </row>
    <row r="238" spans="1:14" x14ac:dyDescent="0.25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  <c r="M238">
        <f t="shared" ca="1" si="6"/>
        <v>2</v>
      </c>
      <c r="N238" t="str">
        <f t="shared" si="7"/>
        <v>30-39</v>
      </c>
    </row>
    <row r="239" spans="1:14" x14ac:dyDescent="0.25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  <c r="M239">
        <f t="shared" ca="1" si="6"/>
        <v>2</v>
      </c>
      <c r="N239" t="str">
        <f t="shared" si="7"/>
        <v>30-39</v>
      </c>
    </row>
    <row r="240" spans="1:14" x14ac:dyDescent="0.25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  <c r="M240">
        <f t="shared" ca="1" si="6"/>
        <v>6</v>
      </c>
      <c r="N240" t="str">
        <f t="shared" si="7"/>
        <v>40-49</v>
      </c>
    </row>
    <row r="241" spans="1:14" x14ac:dyDescent="0.25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  <c r="M241">
        <f t="shared" ca="1" si="6"/>
        <v>2</v>
      </c>
      <c r="N241" t="str">
        <f t="shared" si="7"/>
        <v>30-39</v>
      </c>
    </row>
    <row r="242" spans="1:14" x14ac:dyDescent="0.25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  <c r="M242">
        <f t="shared" ca="1" si="6"/>
        <v>1</v>
      </c>
      <c r="N242" t="str">
        <f t="shared" si="7"/>
        <v>30-39</v>
      </c>
    </row>
    <row r="243" spans="1:14" x14ac:dyDescent="0.25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  <c r="M243">
        <f t="shared" ca="1" si="6"/>
        <v>5</v>
      </c>
      <c r="N243" t="str">
        <f t="shared" si="7"/>
        <v>40-49</v>
      </c>
    </row>
    <row r="244" spans="1:14" x14ac:dyDescent="0.25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  <c r="M244">
        <f t="shared" ca="1" si="6"/>
        <v>2</v>
      </c>
      <c r="N244" t="str">
        <f t="shared" si="7"/>
        <v>50-59</v>
      </c>
    </row>
    <row r="245" spans="1:14" x14ac:dyDescent="0.25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  <c r="M245">
        <f t="shared" ca="1" si="6"/>
        <v>1</v>
      </c>
      <c r="N245" t="str">
        <f t="shared" si="7"/>
        <v>50-59</v>
      </c>
    </row>
    <row r="246" spans="1:14" x14ac:dyDescent="0.25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  <c r="M246">
        <f t="shared" ca="1" si="6"/>
        <v>6</v>
      </c>
      <c r="N246" t="str">
        <f t="shared" si="7"/>
        <v>50-59</v>
      </c>
    </row>
    <row r="247" spans="1:14" x14ac:dyDescent="0.25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  <c r="M247">
        <f t="shared" ca="1" si="6"/>
        <v>3</v>
      </c>
      <c r="N247" t="str">
        <f t="shared" si="7"/>
        <v>40-49</v>
      </c>
    </row>
    <row r="248" spans="1:14" x14ac:dyDescent="0.25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  <c r="M248">
        <f t="shared" ca="1" si="6"/>
        <v>1</v>
      </c>
      <c r="N248" t="str">
        <f t="shared" si="7"/>
        <v>30-39</v>
      </c>
    </row>
    <row r="249" spans="1:14" x14ac:dyDescent="0.25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  <c r="M249">
        <f t="shared" ca="1" si="6"/>
        <v>4</v>
      </c>
      <c r="N249" t="str">
        <f t="shared" si="7"/>
        <v>40-49</v>
      </c>
    </row>
    <row r="250" spans="1:14" x14ac:dyDescent="0.25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  <c r="M250">
        <f t="shared" ca="1" si="6"/>
        <v>5</v>
      </c>
      <c r="N250" t="str">
        <f t="shared" si="7"/>
        <v>30-39</v>
      </c>
    </row>
    <row r="251" spans="1:14" x14ac:dyDescent="0.25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  <c r="M251">
        <f t="shared" ca="1" si="6"/>
        <v>3</v>
      </c>
      <c r="N251" t="str">
        <f t="shared" si="7"/>
        <v>30-39</v>
      </c>
    </row>
    <row r="252" spans="1:14" x14ac:dyDescent="0.25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  <c r="M252">
        <f t="shared" ca="1" si="6"/>
        <v>3</v>
      </c>
      <c r="N252" t="str">
        <f t="shared" si="7"/>
        <v>30-39</v>
      </c>
    </row>
    <row r="253" spans="1:14" x14ac:dyDescent="0.25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  <c r="M253">
        <f t="shared" ca="1" si="6"/>
        <v>1</v>
      </c>
      <c r="N253" t="str">
        <f t="shared" si="7"/>
        <v>30-39</v>
      </c>
    </row>
    <row r="254" spans="1:14" x14ac:dyDescent="0.25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  <c r="M254">
        <f t="shared" ca="1" si="6"/>
        <v>2</v>
      </c>
      <c r="N254" t="str">
        <f t="shared" si="7"/>
        <v>30-39</v>
      </c>
    </row>
    <row r="255" spans="1:14" x14ac:dyDescent="0.25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  <c r="M255">
        <f t="shared" ca="1" si="6"/>
        <v>2</v>
      </c>
      <c r="N255" t="str">
        <f t="shared" si="7"/>
        <v>30-39</v>
      </c>
    </row>
    <row r="256" spans="1:14" x14ac:dyDescent="0.25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  <c r="M256">
        <f t="shared" ca="1" si="6"/>
        <v>3</v>
      </c>
      <c r="N256" t="str">
        <f t="shared" si="7"/>
        <v>40-49</v>
      </c>
    </row>
    <row r="257" spans="1:14" x14ac:dyDescent="0.25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  <c r="M257">
        <f t="shared" ca="1" si="6"/>
        <v>6</v>
      </c>
      <c r="N257" t="str">
        <f t="shared" si="7"/>
        <v>50-59</v>
      </c>
    </row>
    <row r="258" spans="1:14" x14ac:dyDescent="0.25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  <c r="M258">
        <f t="shared" ref="M258:M321" ca="1" si="8">IF(I258="",DATEDIF(H258,TODAY(),"Y"),DATEDIF(H258,I258,"Y"))</f>
        <v>5</v>
      </c>
      <c r="N258" t="str">
        <f t="shared" ref="N258:N321" si="9">IF(D258&lt;30,"20-29",IF(D258&lt;40,"30-39",IF(D258&lt;50,"40-49",IF(D258&lt;60,"50-59","+60"))))</f>
        <v>30-39</v>
      </c>
    </row>
    <row r="259" spans="1:14" x14ac:dyDescent="0.25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  <c r="M259">
        <f t="shared" ca="1" si="8"/>
        <v>4</v>
      </c>
      <c r="N259" t="str">
        <f t="shared" si="9"/>
        <v>40-49</v>
      </c>
    </row>
    <row r="260" spans="1:14" x14ac:dyDescent="0.25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  <c r="M260">
        <f t="shared" ca="1" si="8"/>
        <v>2</v>
      </c>
      <c r="N260" t="str">
        <f t="shared" si="9"/>
        <v>20-29</v>
      </c>
    </row>
    <row r="261" spans="1:14" x14ac:dyDescent="0.25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  <c r="M261">
        <f t="shared" ca="1" si="8"/>
        <v>2</v>
      </c>
      <c r="N261" t="str">
        <f t="shared" si="9"/>
        <v>40-49</v>
      </c>
    </row>
    <row r="262" spans="1:14" x14ac:dyDescent="0.25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  <c r="M262">
        <f t="shared" ca="1" si="8"/>
        <v>5</v>
      </c>
      <c r="N262" t="str">
        <f t="shared" si="9"/>
        <v>40-49</v>
      </c>
    </row>
    <row r="263" spans="1:14" x14ac:dyDescent="0.25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  <c r="M263">
        <f t="shared" ca="1" si="8"/>
        <v>6</v>
      </c>
      <c r="N263" t="str">
        <f t="shared" si="9"/>
        <v>30-39</v>
      </c>
    </row>
    <row r="264" spans="1:14" x14ac:dyDescent="0.25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  <c r="M264">
        <f t="shared" ca="1" si="8"/>
        <v>2</v>
      </c>
      <c r="N264" t="str">
        <f t="shared" si="9"/>
        <v>40-49</v>
      </c>
    </row>
    <row r="265" spans="1:14" x14ac:dyDescent="0.25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  <c r="M265">
        <f t="shared" ca="1" si="8"/>
        <v>4</v>
      </c>
      <c r="N265" t="str">
        <f t="shared" si="9"/>
        <v>40-49</v>
      </c>
    </row>
    <row r="266" spans="1:14" x14ac:dyDescent="0.25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  <c r="M266">
        <f t="shared" ca="1" si="8"/>
        <v>2</v>
      </c>
      <c r="N266" t="str">
        <f t="shared" si="9"/>
        <v>20-29</v>
      </c>
    </row>
    <row r="267" spans="1:14" x14ac:dyDescent="0.25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  <c r="M267">
        <f t="shared" ca="1" si="8"/>
        <v>1</v>
      </c>
      <c r="N267" t="str">
        <f t="shared" si="9"/>
        <v>30-39</v>
      </c>
    </row>
    <row r="268" spans="1:14" x14ac:dyDescent="0.25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  <c r="M268">
        <f t="shared" ca="1" si="8"/>
        <v>3</v>
      </c>
      <c r="N268" t="str">
        <f t="shared" si="9"/>
        <v>30-39</v>
      </c>
    </row>
    <row r="269" spans="1:14" x14ac:dyDescent="0.25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  <c r="M269">
        <f t="shared" ca="1" si="8"/>
        <v>2</v>
      </c>
      <c r="N269" t="str">
        <f t="shared" si="9"/>
        <v>30-39</v>
      </c>
    </row>
    <row r="270" spans="1:14" x14ac:dyDescent="0.25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  <c r="M270">
        <f t="shared" ca="1" si="8"/>
        <v>2</v>
      </c>
      <c r="N270" t="str">
        <f t="shared" si="9"/>
        <v>20-29</v>
      </c>
    </row>
    <row r="271" spans="1:14" x14ac:dyDescent="0.25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  <c r="M271">
        <f t="shared" ca="1" si="8"/>
        <v>2</v>
      </c>
      <c r="N271" t="str">
        <f t="shared" si="9"/>
        <v>30-39</v>
      </c>
    </row>
    <row r="272" spans="1:14" x14ac:dyDescent="0.25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  <c r="M272">
        <f t="shared" ca="1" si="8"/>
        <v>6</v>
      </c>
      <c r="N272" t="str">
        <f t="shared" si="9"/>
        <v>20-29</v>
      </c>
    </row>
    <row r="273" spans="1:14" x14ac:dyDescent="0.25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  <c r="M273">
        <f t="shared" ca="1" si="8"/>
        <v>0</v>
      </c>
      <c r="N273" t="str">
        <f t="shared" si="9"/>
        <v>30-39</v>
      </c>
    </row>
    <row r="274" spans="1:14" x14ac:dyDescent="0.25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  <c r="M274">
        <f t="shared" ca="1" si="8"/>
        <v>1</v>
      </c>
      <c r="N274" t="str">
        <f t="shared" si="9"/>
        <v>30-39</v>
      </c>
    </row>
    <row r="275" spans="1:14" x14ac:dyDescent="0.25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  <c r="M275">
        <f t="shared" ca="1" si="8"/>
        <v>5</v>
      </c>
      <c r="N275" t="str">
        <f t="shared" si="9"/>
        <v>40-49</v>
      </c>
    </row>
    <row r="276" spans="1:14" x14ac:dyDescent="0.25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  <c r="M276">
        <f t="shared" ca="1" si="8"/>
        <v>2</v>
      </c>
      <c r="N276" t="str">
        <f t="shared" si="9"/>
        <v>30-39</v>
      </c>
    </row>
    <row r="277" spans="1:14" x14ac:dyDescent="0.25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  <c r="M277">
        <f t="shared" ca="1" si="8"/>
        <v>3</v>
      </c>
      <c r="N277" t="str">
        <f t="shared" si="9"/>
        <v>30-39</v>
      </c>
    </row>
    <row r="278" spans="1:14" x14ac:dyDescent="0.25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  <c r="M278">
        <f t="shared" ca="1" si="8"/>
        <v>6</v>
      </c>
      <c r="N278" t="str">
        <f t="shared" si="9"/>
        <v>40-49</v>
      </c>
    </row>
    <row r="279" spans="1:14" x14ac:dyDescent="0.25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  <c r="M279">
        <f t="shared" ca="1" si="8"/>
        <v>3</v>
      </c>
      <c r="N279" t="str">
        <f t="shared" si="9"/>
        <v>50-59</v>
      </c>
    </row>
    <row r="280" spans="1:14" x14ac:dyDescent="0.25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  <c r="M280">
        <f t="shared" ca="1" si="8"/>
        <v>1</v>
      </c>
      <c r="N280" t="str">
        <f t="shared" si="9"/>
        <v>50-59</v>
      </c>
    </row>
    <row r="281" spans="1:14" x14ac:dyDescent="0.25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  <c r="M281">
        <f t="shared" ca="1" si="8"/>
        <v>4</v>
      </c>
      <c r="N281" t="str">
        <f t="shared" si="9"/>
        <v>50-59</v>
      </c>
    </row>
    <row r="282" spans="1:14" x14ac:dyDescent="0.25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  <c r="M282">
        <f t="shared" ca="1" si="8"/>
        <v>5</v>
      </c>
      <c r="N282" t="str">
        <f t="shared" si="9"/>
        <v>40-49</v>
      </c>
    </row>
    <row r="283" spans="1:14" x14ac:dyDescent="0.25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  <c r="M283">
        <f t="shared" ca="1" si="8"/>
        <v>3</v>
      </c>
      <c r="N283" t="str">
        <f t="shared" si="9"/>
        <v>30-39</v>
      </c>
    </row>
    <row r="284" spans="1:14" x14ac:dyDescent="0.25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  <c r="M284">
        <f t="shared" ca="1" si="8"/>
        <v>3</v>
      </c>
      <c r="N284" t="str">
        <f t="shared" si="9"/>
        <v>40-49</v>
      </c>
    </row>
    <row r="285" spans="1:14" x14ac:dyDescent="0.25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  <c r="M285">
        <f t="shared" ca="1" si="8"/>
        <v>1</v>
      </c>
      <c r="N285" t="str">
        <f t="shared" si="9"/>
        <v>30-39</v>
      </c>
    </row>
    <row r="286" spans="1:14" x14ac:dyDescent="0.25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  <c r="M286">
        <f t="shared" ca="1" si="8"/>
        <v>2</v>
      </c>
      <c r="N286" t="str">
        <f t="shared" si="9"/>
        <v>30-39</v>
      </c>
    </row>
    <row r="287" spans="1:14" x14ac:dyDescent="0.25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  <c r="M287">
        <f t="shared" ca="1" si="8"/>
        <v>2</v>
      </c>
      <c r="N287" t="str">
        <f t="shared" si="9"/>
        <v>30-39</v>
      </c>
    </row>
    <row r="288" spans="1:14" x14ac:dyDescent="0.25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  <c r="M288">
        <f t="shared" ca="1" si="8"/>
        <v>3</v>
      </c>
      <c r="N288" t="str">
        <f t="shared" si="9"/>
        <v>30-39</v>
      </c>
    </row>
    <row r="289" spans="1:14" x14ac:dyDescent="0.25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  <c r="M289">
        <f t="shared" ca="1" si="8"/>
        <v>6</v>
      </c>
      <c r="N289" t="str">
        <f t="shared" si="9"/>
        <v>30-39</v>
      </c>
    </row>
    <row r="290" spans="1:14" x14ac:dyDescent="0.25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  <c r="M290">
        <f t="shared" ca="1" si="8"/>
        <v>5</v>
      </c>
      <c r="N290" t="str">
        <f t="shared" si="9"/>
        <v>30-39</v>
      </c>
    </row>
    <row r="291" spans="1:14" x14ac:dyDescent="0.25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  <c r="M291">
        <f t="shared" ca="1" si="8"/>
        <v>4</v>
      </c>
      <c r="N291" t="str">
        <f t="shared" si="9"/>
        <v>40-49</v>
      </c>
    </row>
    <row r="292" spans="1:14" x14ac:dyDescent="0.25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  <c r="M292">
        <f t="shared" ca="1" si="8"/>
        <v>2</v>
      </c>
      <c r="N292" t="str">
        <f t="shared" si="9"/>
        <v>50-59</v>
      </c>
    </row>
    <row r="293" spans="1:14" x14ac:dyDescent="0.25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  <c r="M293">
        <f t="shared" ca="1" si="8"/>
        <v>2</v>
      </c>
      <c r="N293" t="str">
        <f t="shared" si="9"/>
        <v>30-39</v>
      </c>
    </row>
    <row r="294" spans="1:14" x14ac:dyDescent="0.25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  <c r="M294">
        <f t="shared" ca="1" si="8"/>
        <v>5</v>
      </c>
      <c r="N294" t="str">
        <f t="shared" si="9"/>
        <v>40-49</v>
      </c>
    </row>
    <row r="295" spans="1:14" x14ac:dyDescent="0.25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  <c r="M295">
        <f t="shared" ca="1" si="8"/>
        <v>3</v>
      </c>
      <c r="N295" t="str">
        <f t="shared" si="9"/>
        <v>20-29</v>
      </c>
    </row>
    <row r="296" spans="1:14" x14ac:dyDescent="0.25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  <c r="M296">
        <f t="shared" ca="1" si="8"/>
        <v>2</v>
      </c>
      <c r="N296" t="str">
        <f t="shared" si="9"/>
        <v>40-49</v>
      </c>
    </row>
    <row r="297" spans="1:14" x14ac:dyDescent="0.25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  <c r="M297">
        <f t="shared" ca="1" si="8"/>
        <v>4</v>
      </c>
      <c r="N297" t="str">
        <f t="shared" si="9"/>
        <v>40-49</v>
      </c>
    </row>
    <row r="298" spans="1:14" x14ac:dyDescent="0.25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  <c r="M298">
        <f t="shared" ca="1" si="8"/>
        <v>3</v>
      </c>
      <c r="N298" t="str">
        <f t="shared" si="9"/>
        <v>30-39</v>
      </c>
    </row>
    <row r="299" spans="1:14" x14ac:dyDescent="0.25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  <c r="M299">
        <f t="shared" ca="1" si="8"/>
        <v>1</v>
      </c>
      <c r="N299" t="str">
        <f t="shared" si="9"/>
        <v>40-49</v>
      </c>
    </row>
    <row r="300" spans="1:14" x14ac:dyDescent="0.25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  <c r="M300">
        <f t="shared" ca="1" si="8"/>
        <v>3</v>
      </c>
      <c r="N300" t="str">
        <f t="shared" si="9"/>
        <v>40-49</v>
      </c>
    </row>
    <row r="301" spans="1:14" x14ac:dyDescent="0.25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  <c r="M301">
        <f t="shared" ca="1" si="8"/>
        <v>2</v>
      </c>
      <c r="N301" t="str">
        <f t="shared" si="9"/>
        <v>30-39</v>
      </c>
    </row>
    <row r="302" spans="1:14" x14ac:dyDescent="0.25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  <c r="M302">
        <f t="shared" ca="1" si="8"/>
        <v>0</v>
      </c>
      <c r="N302" t="str">
        <f t="shared" si="9"/>
        <v>30-39</v>
      </c>
    </row>
    <row r="303" spans="1:14" x14ac:dyDescent="0.25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  <c r="M303">
        <f t="shared" ca="1" si="8"/>
        <v>2</v>
      </c>
      <c r="N303" t="str">
        <f t="shared" si="9"/>
        <v>20-29</v>
      </c>
    </row>
    <row r="304" spans="1:14" x14ac:dyDescent="0.25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  <c r="M304">
        <f t="shared" ca="1" si="8"/>
        <v>6</v>
      </c>
      <c r="N304" t="str">
        <f t="shared" si="9"/>
        <v>30-39</v>
      </c>
    </row>
    <row r="305" spans="1:14" x14ac:dyDescent="0.25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  <c r="M305">
        <f t="shared" ca="1" si="8"/>
        <v>2</v>
      </c>
      <c r="N305" t="str">
        <f t="shared" si="9"/>
        <v>20-29</v>
      </c>
    </row>
    <row r="306" spans="1:14" x14ac:dyDescent="0.25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  <c r="M306">
        <f t="shared" ca="1" si="8"/>
        <v>1</v>
      </c>
      <c r="N306" t="str">
        <f t="shared" si="9"/>
        <v>20-29</v>
      </c>
    </row>
    <row r="307" spans="1:14" x14ac:dyDescent="0.25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  <c r="M307">
        <f t="shared" ca="1" si="8"/>
        <v>5</v>
      </c>
      <c r="N307" t="str">
        <f t="shared" si="9"/>
        <v>30-39</v>
      </c>
    </row>
    <row r="308" spans="1:14" x14ac:dyDescent="0.25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  <c r="M308">
        <f t="shared" ca="1" si="8"/>
        <v>2</v>
      </c>
      <c r="N308" t="str">
        <f t="shared" si="9"/>
        <v>30-39</v>
      </c>
    </row>
    <row r="309" spans="1:14" x14ac:dyDescent="0.25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  <c r="M309">
        <f t="shared" ca="1" si="8"/>
        <v>1</v>
      </c>
      <c r="N309" t="str">
        <f t="shared" si="9"/>
        <v>30-39</v>
      </c>
    </row>
    <row r="310" spans="1:14" x14ac:dyDescent="0.25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  <c r="M310">
        <f t="shared" ca="1" si="8"/>
        <v>6</v>
      </c>
      <c r="N310" t="str">
        <f t="shared" si="9"/>
        <v>40-49</v>
      </c>
    </row>
    <row r="311" spans="1:14" x14ac:dyDescent="0.25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  <c r="M311">
        <f t="shared" ca="1" si="8"/>
        <v>3</v>
      </c>
      <c r="N311" t="str">
        <f t="shared" si="9"/>
        <v>30-39</v>
      </c>
    </row>
    <row r="312" spans="1:14" x14ac:dyDescent="0.25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  <c r="M312">
        <f t="shared" ca="1" si="8"/>
        <v>1</v>
      </c>
      <c r="N312" t="str">
        <f t="shared" si="9"/>
        <v>30-39</v>
      </c>
    </row>
    <row r="313" spans="1:14" x14ac:dyDescent="0.25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  <c r="M313">
        <f t="shared" ca="1" si="8"/>
        <v>4</v>
      </c>
      <c r="N313" t="str">
        <f t="shared" si="9"/>
        <v>40-49</v>
      </c>
    </row>
    <row r="314" spans="1:14" x14ac:dyDescent="0.25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  <c r="M314">
        <f t="shared" ca="1" si="8"/>
        <v>5</v>
      </c>
      <c r="N314" t="str">
        <f t="shared" si="9"/>
        <v>50-59</v>
      </c>
    </row>
    <row r="315" spans="1:14" x14ac:dyDescent="0.25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  <c r="M315">
        <f t="shared" ca="1" si="8"/>
        <v>3</v>
      </c>
      <c r="N315" t="str">
        <f t="shared" si="9"/>
        <v>50-59</v>
      </c>
    </row>
    <row r="316" spans="1:14" x14ac:dyDescent="0.25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  <c r="M316">
        <f t="shared" ca="1" si="8"/>
        <v>3</v>
      </c>
      <c r="N316" t="str">
        <f t="shared" si="9"/>
        <v>50-59</v>
      </c>
    </row>
    <row r="317" spans="1:14" x14ac:dyDescent="0.25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  <c r="M317">
        <f t="shared" ca="1" si="8"/>
        <v>1</v>
      </c>
      <c r="N317" t="str">
        <f t="shared" si="9"/>
        <v>40-49</v>
      </c>
    </row>
    <row r="318" spans="1:14" x14ac:dyDescent="0.25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  <c r="M318">
        <f t="shared" ca="1" si="8"/>
        <v>2</v>
      </c>
      <c r="N318" t="str">
        <f t="shared" si="9"/>
        <v>30-39</v>
      </c>
    </row>
    <row r="319" spans="1:14" x14ac:dyDescent="0.25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  <c r="M319">
        <f t="shared" ca="1" si="8"/>
        <v>2</v>
      </c>
      <c r="N319" t="str">
        <f t="shared" si="9"/>
        <v>40-49</v>
      </c>
    </row>
    <row r="320" spans="1:14" x14ac:dyDescent="0.25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  <c r="M320">
        <f t="shared" ca="1" si="8"/>
        <v>2</v>
      </c>
      <c r="N320" t="str">
        <f t="shared" si="9"/>
        <v>30-39</v>
      </c>
    </row>
    <row r="321" spans="1:14" x14ac:dyDescent="0.25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  <c r="M321">
        <f t="shared" ca="1" si="8"/>
        <v>6</v>
      </c>
      <c r="N321" t="str">
        <f t="shared" si="9"/>
        <v>30-39</v>
      </c>
    </row>
    <row r="322" spans="1:14" x14ac:dyDescent="0.25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  <c r="M322">
        <f t="shared" ref="M322:M385" ca="1" si="10">IF(I322="",DATEDIF(H322,TODAY(),"Y"),DATEDIF(H322,I322,"Y"))</f>
        <v>5</v>
      </c>
      <c r="N322" t="str">
        <f t="shared" ref="N322:N385" si="11">IF(D322&lt;30,"20-29",IF(D322&lt;40,"30-39",IF(D322&lt;50,"40-49",IF(D322&lt;60,"50-59","+60"))))</f>
        <v>30-39</v>
      </c>
    </row>
    <row r="323" spans="1:14" x14ac:dyDescent="0.25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  <c r="M323">
        <f t="shared" ca="1" si="10"/>
        <v>4</v>
      </c>
      <c r="N323" t="str">
        <f t="shared" si="11"/>
        <v>30-39</v>
      </c>
    </row>
    <row r="324" spans="1:14" x14ac:dyDescent="0.25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  <c r="M324">
        <f t="shared" ca="1" si="10"/>
        <v>2</v>
      </c>
      <c r="N324" t="str">
        <f t="shared" si="11"/>
        <v>30-39</v>
      </c>
    </row>
    <row r="325" spans="1:14" x14ac:dyDescent="0.25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  <c r="M325">
        <f t="shared" ca="1" si="10"/>
        <v>4</v>
      </c>
      <c r="N325" t="str">
        <f t="shared" si="11"/>
        <v>30-39</v>
      </c>
    </row>
    <row r="326" spans="1:14" x14ac:dyDescent="0.25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  <c r="M326">
        <f t="shared" ca="1" si="10"/>
        <v>5</v>
      </c>
      <c r="N326" t="str">
        <f t="shared" si="11"/>
        <v>40-49</v>
      </c>
    </row>
    <row r="327" spans="1:14" x14ac:dyDescent="0.25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  <c r="M327">
        <f t="shared" ca="1" si="10"/>
        <v>6</v>
      </c>
      <c r="N327" t="str">
        <f t="shared" si="11"/>
        <v>50-59</v>
      </c>
    </row>
    <row r="328" spans="1:14" x14ac:dyDescent="0.25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  <c r="M328">
        <f t="shared" ca="1" si="10"/>
        <v>2</v>
      </c>
      <c r="N328" t="str">
        <f t="shared" si="11"/>
        <v>30-39</v>
      </c>
    </row>
    <row r="329" spans="1:14" x14ac:dyDescent="0.25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  <c r="M329">
        <f t="shared" ca="1" si="10"/>
        <v>4</v>
      </c>
      <c r="N329" t="str">
        <f t="shared" si="11"/>
        <v>40-49</v>
      </c>
    </row>
    <row r="330" spans="1:14" x14ac:dyDescent="0.25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  <c r="M330">
        <f t="shared" ca="1" si="10"/>
        <v>3</v>
      </c>
      <c r="N330" t="str">
        <f t="shared" si="11"/>
        <v>30-39</v>
      </c>
    </row>
    <row r="331" spans="1:14" x14ac:dyDescent="0.25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  <c r="M331">
        <f t="shared" ca="1" si="10"/>
        <v>1</v>
      </c>
      <c r="N331" t="str">
        <f t="shared" si="11"/>
        <v>40-49</v>
      </c>
    </row>
    <row r="332" spans="1:14" x14ac:dyDescent="0.25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  <c r="M332">
        <f t="shared" ca="1" si="10"/>
        <v>3</v>
      </c>
      <c r="N332" t="str">
        <f t="shared" si="11"/>
        <v>40-49</v>
      </c>
    </row>
    <row r="333" spans="1:14" x14ac:dyDescent="0.25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  <c r="M333">
        <f t="shared" ca="1" si="10"/>
        <v>2</v>
      </c>
      <c r="N333" t="str">
        <f t="shared" si="11"/>
        <v>30-39</v>
      </c>
    </row>
    <row r="334" spans="1:14" x14ac:dyDescent="0.25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  <c r="M334">
        <f t="shared" ca="1" si="10"/>
        <v>2</v>
      </c>
      <c r="N334" t="str">
        <f t="shared" si="11"/>
        <v>40-49</v>
      </c>
    </row>
    <row r="335" spans="1:14" x14ac:dyDescent="0.25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  <c r="M335">
        <f t="shared" ca="1" si="10"/>
        <v>2</v>
      </c>
      <c r="N335" t="str">
        <f t="shared" si="11"/>
        <v>40-49</v>
      </c>
    </row>
    <row r="336" spans="1:14" x14ac:dyDescent="0.25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  <c r="M336">
        <f t="shared" ca="1" si="10"/>
        <v>6</v>
      </c>
      <c r="N336" t="str">
        <f t="shared" si="11"/>
        <v>20-29</v>
      </c>
    </row>
    <row r="337" spans="1:14" x14ac:dyDescent="0.25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  <c r="M337">
        <f t="shared" ca="1" si="10"/>
        <v>2</v>
      </c>
      <c r="N337" t="str">
        <f t="shared" si="11"/>
        <v>30-39</v>
      </c>
    </row>
    <row r="338" spans="1:14" x14ac:dyDescent="0.25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  <c r="M338">
        <f t="shared" ca="1" si="10"/>
        <v>1</v>
      </c>
      <c r="N338" t="str">
        <f t="shared" si="11"/>
        <v>20-29</v>
      </c>
    </row>
    <row r="339" spans="1:14" x14ac:dyDescent="0.25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  <c r="M339">
        <f t="shared" ca="1" si="10"/>
        <v>5</v>
      </c>
      <c r="N339" t="str">
        <f t="shared" si="11"/>
        <v>30-39</v>
      </c>
    </row>
    <row r="340" spans="1:14" x14ac:dyDescent="0.25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  <c r="M340">
        <f t="shared" ca="1" si="10"/>
        <v>2</v>
      </c>
      <c r="N340" t="str">
        <f t="shared" si="11"/>
        <v>20-29</v>
      </c>
    </row>
    <row r="341" spans="1:14" x14ac:dyDescent="0.25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  <c r="M341">
        <f t="shared" ca="1" si="10"/>
        <v>1</v>
      </c>
      <c r="N341" t="str">
        <f t="shared" si="11"/>
        <v>20-29</v>
      </c>
    </row>
    <row r="342" spans="1:14" x14ac:dyDescent="0.25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  <c r="M342">
        <f t="shared" ca="1" si="10"/>
        <v>6</v>
      </c>
      <c r="N342" t="str">
        <f t="shared" si="11"/>
        <v>20-29</v>
      </c>
    </row>
    <row r="343" spans="1:14" x14ac:dyDescent="0.25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  <c r="M343">
        <f t="shared" ca="1" si="10"/>
        <v>3</v>
      </c>
      <c r="N343" t="str">
        <f t="shared" si="11"/>
        <v>30-39</v>
      </c>
    </row>
    <row r="344" spans="1:14" x14ac:dyDescent="0.25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  <c r="M344">
        <f t="shared" ca="1" si="10"/>
        <v>1</v>
      </c>
      <c r="N344" t="str">
        <f t="shared" si="11"/>
        <v>30-39</v>
      </c>
    </row>
    <row r="345" spans="1:14" x14ac:dyDescent="0.25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  <c r="M345">
        <f t="shared" ca="1" si="10"/>
        <v>4</v>
      </c>
      <c r="N345" t="str">
        <f t="shared" si="11"/>
        <v>40-49</v>
      </c>
    </row>
    <row r="346" spans="1:14" x14ac:dyDescent="0.25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  <c r="M346">
        <f t="shared" ca="1" si="10"/>
        <v>5</v>
      </c>
      <c r="N346" t="str">
        <f t="shared" si="11"/>
        <v>30-39</v>
      </c>
    </row>
    <row r="347" spans="1:14" x14ac:dyDescent="0.25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  <c r="M347">
        <f t="shared" ca="1" si="10"/>
        <v>3</v>
      </c>
      <c r="N347" t="str">
        <f t="shared" si="11"/>
        <v>30-39</v>
      </c>
    </row>
    <row r="348" spans="1:14" x14ac:dyDescent="0.25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  <c r="M348">
        <f t="shared" ca="1" si="10"/>
        <v>3</v>
      </c>
      <c r="N348" t="str">
        <f t="shared" si="11"/>
        <v>40-49</v>
      </c>
    </row>
    <row r="349" spans="1:14" x14ac:dyDescent="0.25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  <c r="M349">
        <f t="shared" ca="1" si="10"/>
        <v>1</v>
      </c>
      <c r="N349" t="str">
        <f t="shared" si="11"/>
        <v>50-59</v>
      </c>
    </row>
    <row r="350" spans="1:14" x14ac:dyDescent="0.25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  <c r="M350">
        <f t="shared" ca="1" si="10"/>
        <v>2</v>
      </c>
      <c r="N350" t="str">
        <f t="shared" si="11"/>
        <v>50-59</v>
      </c>
    </row>
    <row r="351" spans="1:14" x14ac:dyDescent="0.25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  <c r="M351">
        <f t="shared" ca="1" si="10"/>
        <v>4</v>
      </c>
      <c r="N351" t="str">
        <f t="shared" si="11"/>
        <v>50-59</v>
      </c>
    </row>
    <row r="352" spans="1:14" x14ac:dyDescent="0.25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  <c r="M352">
        <f t="shared" ca="1" si="10"/>
        <v>3</v>
      </c>
      <c r="N352" t="str">
        <f t="shared" si="11"/>
        <v>40-49</v>
      </c>
    </row>
    <row r="353" spans="1:14" x14ac:dyDescent="0.25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  <c r="M353">
        <f t="shared" ca="1" si="10"/>
        <v>6</v>
      </c>
      <c r="N353" t="str">
        <f t="shared" si="11"/>
        <v>30-39</v>
      </c>
    </row>
    <row r="354" spans="1:14" x14ac:dyDescent="0.25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  <c r="M354">
        <f t="shared" ca="1" si="10"/>
        <v>5</v>
      </c>
      <c r="N354" t="str">
        <f t="shared" si="11"/>
        <v>40-49</v>
      </c>
    </row>
    <row r="355" spans="1:14" x14ac:dyDescent="0.25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  <c r="M355">
        <f t="shared" ca="1" si="10"/>
        <v>4</v>
      </c>
      <c r="N355" t="str">
        <f t="shared" si="11"/>
        <v>30-39</v>
      </c>
    </row>
    <row r="356" spans="1:14" x14ac:dyDescent="0.25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  <c r="M356">
        <f t="shared" ca="1" si="10"/>
        <v>2</v>
      </c>
      <c r="N356" t="str">
        <f t="shared" si="11"/>
        <v>30-39</v>
      </c>
    </row>
    <row r="357" spans="1:14" x14ac:dyDescent="0.25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  <c r="M357">
        <f t="shared" ca="1" si="10"/>
        <v>2</v>
      </c>
      <c r="N357" t="str">
        <f t="shared" si="11"/>
        <v>30-39</v>
      </c>
    </row>
    <row r="358" spans="1:14" x14ac:dyDescent="0.25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  <c r="M358">
        <f t="shared" ca="1" si="10"/>
        <v>5</v>
      </c>
      <c r="N358" t="str">
        <f t="shared" si="11"/>
        <v>20-29</v>
      </c>
    </row>
    <row r="359" spans="1:14" x14ac:dyDescent="0.25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  <c r="M359">
        <f t="shared" ca="1" si="10"/>
        <v>6</v>
      </c>
      <c r="N359" t="str">
        <f t="shared" si="11"/>
        <v>30-39</v>
      </c>
    </row>
    <row r="360" spans="1:14" x14ac:dyDescent="0.25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  <c r="M360">
        <f t="shared" ca="1" si="10"/>
        <v>2</v>
      </c>
      <c r="N360" t="str">
        <f t="shared" si="11"/>
        <v>30-39</v>
      </c>
    </row>
    <row r="361" spans="1:14" x14ac:dyDescent="0.25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  <c r="M361">
        <f t="shared" ca="1" si="10"/>
        <v>4</v>
      </c>
      <c r="N361" t="str">
        <f t="shared" si="11"/>
        <v>40-49</v>
      </c>
    </row>
    <row r="362" spans="1:14" x14ac:dyDescent="0.25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  <c r="M362">
        <f t="shared" ca="1" si="10"/>
        <v>3</v>
      </c>
      <c r="N362" t="str">
        <f t="shared" si="11"/>
        <v>50-59</v>
      </c>
    </row>
    <row r="363" spans="1:14" x14ac:dyDescent="0.25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  <c r="M363">
        <f t="shared" ca="1" si="10"/>
        <v>1</v>
      </c>
      <c r="N363" t="str">
        <f t="shared" si="11"/>
        <v>30-39</v>
      </c>
    </row>
    <row r="364" spans="1:14" x14ac:dyDescent="0.25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  <c r="M364">
        <f t="shared" ca="1" si="10"/>
        <v>3</v>
      </c>
      <c r="N364" t="str">
        <f t="shared" si="11"/>
        <v>40-49</v>
      </c>
    </row>
    <row r="365" spans="1:14" x14ac:dyDescent="0.25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  <c r="M365">
        <f t="shared" ca="1" si="10"/>
        <v>2</v>
      </c>
      <c r="N365" t="str">
        <f t="shared" si="11"/>
        <v>20-29</v>
      </c>
    </row>
    <row r="366" spans="1:14" x14ac:dyDescent="0.25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  <c r="M366">
        <f t="shared" ca="1" si="10"/>
        <v>2</v>
      </c>
      <c r="N366" t="str">
        <f t="shared" si="11"/>
        <v>40-49</v>
      </c>
    </row>
    <row r="367" spans="1:14" x14ac:dyDescent="0.25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  <c r="M367">
        <f t="shared" ca="1" si="10"/>
        <v>2</v>
      </c>
      <c r="N367" t="str">
        <f t="shared" si="11"/>
        <v>40-49</v>
      </c>
    </row>
    <row r="368" spans="1:14" x14ac:dyDescent="0.25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  <c r="M368">
        <f t="shared" ca="1" si="10"/>
        <v>6</v>
      </c>
      <c r="N368" t="str">
        <f t="shared" si="11"/>
        <v>30-39</v>
      </c>
    </row>
    <row r="369" spans="1:14" x14ac:dyDescent="0.25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  <c r="M369">
        <f t="shared" ca="1" si="10"/>
        <v>2</v>
      </c>
      <c r="N369" t="str">
        <f t="shared" si="11"/>
        <v>40-49</v>
      </c>
    </row>
    <row r="370" spans="1:14" x14ac:dyDescent="0.25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  <c r="M370">
        <f t="shared" ca="1" si="10"/>
        <v>1</v>
      </c>
      <c r="N370" t="str">
        <f t="shared" si="11"/>
        <v>40-49</v>
      </c>
    </row>
    <row r="371" spans="1:14" x14ac:dyDescent="0.25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  <c r="M371">
        <f t="shared" ca="1" si="10"/>
        <v>5</v>
      </c>
      <c r="N371" t="str">
        <f t="shared" si="11"/>
        <v>20-29</v>
      </c>
    </row>
    <row r="372" spans="1:14" x14ac:dyDescent="0.25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  <c r="M372">
        <f t="shared" ca="1" si="10"/>
        <v>2</v>
      </c>
      <c r="N372" t="str">
        <f t="shared" si="11"/>
        <v>30-39</v>
      </c>
    </row>
    <row r="373" spans="1:14" x14ac:dyDescent="0.25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  <c r="M373">
        <f t="shared" ca="1" si="10"/>
        <v>1</v>
      </c>
      <c r="N373" t="str">
        <f t="shared" si="11"/>
        <v>20-29</v>
      </c>
    </row>
    <row r="374" spans="1:14" x14ac:dyDescent="0.25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  <c r="M374">
        <f t="shared" ca="1" si="10"/>
        <v>6</v>
      </c>
      <c r="N374" t="str">
        <f t="shared" si="11"/>
        <v>30-39</v>
      </c>
    </row>
    <row r="375" spans="1:14" x14ac:dyDescent="0.25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  <c r="M375">
        <f t="shared" ca="1" si="10"/>
        <v>1</v>
      </c>
      <c r="N375" t="str">
        <f t="shared" si="11"/>
        <v>20-29</v>
      </c>
    </row>
    <row r="376" spans="1:14" x14ac:dyDescent="0.25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  <c r="M376">
        <f t="shared" ca="1" si="10"/>
        <v>1</v>
      </c>
      <c r="N376" t="str">
        <f t="shared" si="11"/>
        <v>30-39</v>
      </c>
    </row>
    <row r="377" spans="1:14" x14ac:dyDescent="0.25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  <c r="M377">
        <f t="shared" ca="1" si="10"/>
        <v>4</v>
      </c>
      <c r="N377" t="str">
        <f t="shared" si="11"/>
        <v>30-39</v>
      </c>
    </row>
    <row r="378" spans="1:14" x14ac:dyDescent="0.25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  <c r="M378">
        <f t="shared" ca="1" si="10"/>
        <v>5</v>
      </c>
      <c r="N378" t="str">
        <f t="shared" si="11"/>
        <v>30-39</v>
      </c>
    </row>
    <row r="379" spans="1:14" x14ac:dyDescent="0.25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  <c r="M379">
        <f t="shared" ca="1" si="10"/>
        <v>3</v>
      </c>
      <c r="N379" t="str">
        <f t="shared" si="11"/>
        <v>30-39</v>
      </c>
    </row>
    <row r="380" spans="1:14" x14ac:dyDescent="0.25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  <c r="M380">
        <f t="shared" ca="1" si="10"/>
        <v>3</v>
      </c>
      <c r="N380" t="str">
        <f t="shared" si="11"/>
        <v>40-49</v>
      </c>
    </row>
    <row r="381" spans="1:14" x14ac:dyDescent="0.25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  <c r="M381">
        <f t="shared" ca="1" si="10"/>
        <v>1</v>
      </c>
      <c r="N381" t="str">
        <f t="shared" si="11"/>
        <v>30-39</v>
      </c>
    </row>
    <row r="382" spans="1:14" x14ac:dyDescent="0.25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  <c r="M382">
        <f t="shared" ca="1" si="10"/>
        <v>2</v>
      </c>
      <c r="N382" t="str">
        <f t="shared" si="11"/>
        <v>30-39</v>
      </c>
    </row>
    <row r="383" spans="1:14" x14ac:dyDescent="0.25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  <c r="M383">
        <f t="shared" ca="1" si="10"/>
        <v>2</v>
      </c>
      <c r="N383" t="str">
        <f t="shared" si="11"/>
        <v>40-49</v>
      </c>
    </row>
    <row r="384" spans="1:14" x14ac:dyDescent="0.25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  <c r="M384">
        <f t="shared" ca="1" si="10"/>
        <v>3</v>
      </c>
      <c r="N384" t="str">
        <f t="shared" si="11"/>
        <v>50-59</v>
      </c>
    </row>
    <row r="385" spans="1:14" x14ac:dyDescent="0.25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  <c r="M385">
        <f t="shared" ca="1" si="10"/>
        <v>6</v>
      </c>
      <c r="N385" t="str">
        <f t="shared" si="11"/>
        <v>50-59</v>
      </c>
    </row>
    <row r="386" spans="1:14" x14ac:dyDescent="0.25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  <c r="M386">
        <f t="shared" ref="M386:M449" ca="1" si="12">IF(I386="",DATEDIF(H386,TODAY(),"Y"),DATEDIF(H386,I386,"Y"))</f>
        <v>3</v>
      </c>
      <c r="N386" t="str">
        <f t="shared" ref="N386:N449" si="13">IF(D386&lt;30,"20-29",IF(D386&lt;40,"30-39",IF(D386&lt;50,"40-49",IF(D386&lt;60,"50-59","+60"))))</f>
        <v>50-59</v>
      </c>
    </row>
    <row r="387" spans="1:14" x14ac:dyDescent="0.25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  <c r="M387">
        <f t="shared" ca="1" si="12"/>
        <v>4</v>
      </c>
      <c r="N387" t="str">
        <f t="shared" si="13"/>
        <v>40-49</v>
      </c>
    </row>
    <row r="388" spans="1:14" x14ac:dyDescent="0.25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  <c r="M388">
        <f t="shared" ca="1" si="12"/>
        <v>2</v>
      </c>
      <c r="N388" t="str">
        <f t="shared" si="13"/>
        <v>30-39</v>
      </c>
    </row>
    <row r="389" spans="1:14" x14ac:dyDescent="0.25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  <c r="M389">
        <f t="shared" ca="1" si="12"/>
        <v>2</v>
      </c>
      <c r="N389" t="str">
        <f t="shared" si="13"/>
        <v>40-49</v>
      </c>
    </row>
    <row r="390" spans="1:14" x14ac:dyDescent="0.25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  <c r="M390">
        <f t="shared" ca="1" si="12"/>
        <v>5</v>
      </c>
      <c r="N390" t="str">
        <f t="shared" si="13"/>
        <v>30-39</v>
      </c>
    </row>
    <row r="391" spans="1:14" x14ac:dyDescent="0.25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  <c r="M391">
        <f t="shared" ca="1" si="12"/>
        <v>6</v>
      </c>
      <c r="N391" t="str">
        <f t="shared" si="13"/>
        <v>30-39</v>
      </c>
    </row>
    <row r="392" spans="1:14" x14ac:dyDescent="0.25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  <c r="M392">
        <f t="shared" ca="1" si="12"/>
        <v>2</v>
      </c>
      <c r="N392" t="str">
        <f t="shared" si="13"/>
        <v>30-39</v>
      </c>
    </row>
    <row r="393" spans="1:14" x14ac:dyDescent="0.25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  <c r="M393">
        <f t="shared" ca="1" si="12"/>
        <v>4</v>
      </c>
      <c r="N393" t="str">
        <f t="shared" si="13"/>
        <v>30-39</v>
      </c>
    </row>
    <row r="394" spans="1:14" x14ac:dyDescent="0.25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  <c r="M394">
        <f t="shared" ca="1" si="12"/>
        <v>3</v>
      </c>
      <c r="N394" t="str">
        <f t="shared" si="13"/>
        <v>30-39</v>
      </c>
    </row>
    <row r="395" spans="1:14" x14ac:dyDescent="0.25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  <c r="M395">
        <f t="shared" ca="1" si="12"/>
        <v>1</v>
      </c>
      <c r="N395" t="str">
        <f t="shared" si="13"/>
        <v>30-39</v>
      </c>
    </row>
    <row r="396" spans="1:14" x14ac:dyDescent="0.25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  <c r="M396">
        <f t="shared" ca="1" si="12"/>
        <v>3</v>
      </c>
      <c r="N396" t="str">
        <f t="shared" si="13"/>
        <v>40-49</v>
      </c>
    </row>
    <row r="397" spans="1:14" x14ac:dyDescent="0.25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  <c r="M397">
        <f t="shared" ca="1" si="12"/>
        <v>2</v>
      </c>
      <c r="N397" t="str">
        <f t="shared" si="13"/>
        <v>50-59</v>
      </c>
    </row>
    <row r="398" spans="1:14" x14ac:dyDescent="0.25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  <c r="M398">
        <f t="shared" ca="1" si="12"/>
        <v>2</v>
      </c>
      <c r="N398" t="str">
        <f t="shared" si="13"/>
        <v>30-39</v>
      </c>
    </row>
    <row r="399" spans="1:14" x14ac:dyDescent="0.25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  <c r="M399">
        <f t="shared" ca="1" si="12"/>
        <v>2</v>
      </c>
      <c r="N399" t="str">
        <f t="shared" si="13"/>
        <v>40-49</v>
      </c>
    </row>
    <row r="400" spans="1:14" x14ac:dyDescent="0.25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  <c r="M400">
        <f t="shared" ca="1" si="12"/>
        <v>6</v>
      </c>
      <c r="N400" t="str">
        <f t="shared" si="13"/>
        <v>30-39</v>
      </c>
    </row>
    <row r="401" spans="1:14" x14ac:dyDescent="0.25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  <c r="M401">
        <f t="shared" ca="1" si="12"/>
        <v>2</v>
      </c>
      <c r="N401" t="str">
        <f t="shared" si="13"/>
        <v>40-49</v>
      </c>
    </row>
    <row r="402" spans="1:14" x14ac:dyDescent="0.25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  <c r="M402">
        <f t="shared" ca="1" si="12"/>
        <v>1</v>
      </c>
      <c r="N402" t="str">
        <f t="shared" si="13"/>
        <v>40-49</v>
      </c>
    </row>
    <row r="403" spans="1:14" x14ac:dyDescent="0.25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  <c r="M403">
        <f t="shared" ca="1" si="12"/>
        <v>5</v>
      </c>
      <c r="N403" t="str">
        <f t="shared" si="13"/>
        <v>30-39</v>
      </c>
    </row>
    <row r="404" spans="1:14" x14ac:dyDescent="0.25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  <c r="M404">
        <f t="shared" ca="1" si="12"/>
        <v>2</v>
      </c>
      <c r="N404" t="str">
        <f t="shared" si="13"/>
        <v>40-49</v>
      </c>
    </row>
    <row r="405" spans="1:14" x14ac:dyDescent="0.25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  <c r="M405">
        <f t="shared" ca="1" si="12"/>
        <v>1</v>
      </c>
      <c r="N405" t="str">
        <f t="shared" si="13"/>
        <v>40-49</v>
      </c>
    </row>
    <row r="406" spans="1:14" x14ac:dyDescent="0.25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  <c r="M406">
        <f t="shared" ca="1" si="12"/>
        <v>6</v>
      </c>
      <c r="N406" t="str">
        <f t="shared" si="13"/>
        <v>30-39</v>
      </c>
    </row>
    <row r="407" spans="1:14" x14ac:dyDescent="0.25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  <c r="M407">
        <f t="shared" ca="1" si="12"/>
        <v>3</v>
      </c>
      <c r="N407" t="str">
        <f t="shared" si="13"/>
        <v>30-39</v>
      </c>
    </row>
    <row r="408" spans="1:14" x14ac:dyDescent="0.25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  <c r="M408">
        <f t="shared" ca="1" si="12"/>
        <v>1</v>
      </c>
      <c r="N408" t="str">
        <f t="shared" si="13"/>
        <v>30-39</v>
      </c>
    </row>
    <row r="409" spans="1:14" x14ac:dyDescent="0.25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  <c r="M409">
        <f t="shared" ca="1" si="12"/>
        <v>4</v>
      </c>
      <c r="N409" t="str">
        <f t="shared" si="13"/>
        <v>30-39</v>
      </c>
    </row>
    <row r="410" spans="1:14" x14ac:dyDescent="0.25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  <c r="M410">
        <f t="shared" ca="1" si="12"/>
        <v>5</v>
      </c>
      <c r="N410" t="str">
        <f t="shared" si="13"/>
        <v>30-39</v>
      </c>
    </row>
    <row r="411" spans="1:14" x14ac:dyDescent="0.25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  <c r="M411">
        <f t="shared" ca="1" si="12"/>
        <v>3</v>
      </c>
      <c r="N411" t="str">
        <f t="shared" si="13"/>
        <v>30-39</v>
      </c>
    </row>
    <row r="412" spans="1:14" x14ac:dyDescent="0.25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  <c r="M412">
        <f t="shared" ca="1" si="12"/>
        <v>3</v>
      </c>
      <c r="N412" t="str">
        <f t="shared" si="13"/>
        <v>30-39</v>
      </c>
    </row>
    <row r="413" spans="1:14" x14ac:dyDescent="0.25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  <c r="M413">
        <f t="shared" ca="1" si="12"/>
        <v>1</v>
      </c>
      <c r="N413" t="str">
        <f t="shared" si="13"/>
        <v>30-39</v>
      </c>
    </row>
    <row r="414" spans="1:14" x14ac:dyDescent="0.25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  <c r="M414">
        <f t="shared" ca="1" si="12"/>
        <v>2</v>
      </c>
      <c r="N414" t="str">
        <f t="shared" si="13"/>
        <v>30-39</v>
      </c>
    </row>
    <row r="415" spans="1:14" x14ac:dyDescent="0.25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  <c r="M415">
        <f t="shared" ca="1" si="12"/>
        <v>2</v>
      </c>
      <c r="N415" t="str">
        <f t="shared" si="13"/>
        <v>40-49</v>
      </c>
    </row>
    <row r="416" spans="1:14" x14ac:dyDescent="0.25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  <c r="M416">
        <f t="shared" ca="1" si="12"/>
        <v>3</v>
      </c>
      <c r="N416" t="str">
        <f t="shared" si="13"/>
        <v>30-39</v>
      </c>
    </row>
    <row r="417" spans="1:14" x14ac:dyDescent="0.25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  <c r="M417">
        <f t="shared" ca="1" si="12"/>
        <v>6</v>
      </c>
      <c r="N417" t="str">
        <f t="shared" si="13"/>
        <v>30-39</v>
      </c>
    </row>
    <row r="418" spans="1:14" x14ac:dyDescent="0.25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  <c r="M418">
        <f t="shared" ca="1" si="12"/>
        <v>5</v>
      </c>
      <c r="N418" t="str">
        <f t="shared" si="13"/>
        <v>40-49</v>
      </c>
    </row>
    <row r="419" spans="1:14" x14ac:dyDescent="0.25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  <c r="M419">
        <f t="shared" ca="1" si="12"/>
        <v>4</v>
      </c>
      <c r="N419" t="str">
        <f t="shared" si="13"/>
        <v>50-59</v>
      </c>
    </row>
    <row r="420" spans="1:14" x14ac:dyDescent="0.25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  <c r="M420">
        <f t="shared" ca="1" si="12"/>
        <v>2</v>
      </c>
      <c r="N420" t="str">
        <f t="shared" si="13"/>
        <v>50-59</v>
      </c>
    </row>
    <row r="421" spans="1:14" x14ac:dyDescent="0.25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  <c r="M421">
        <f t="shared" ca="1" si="12"/>
        <v>2</v>
      </c>
      <c r="N421" t="str">
        <f t="shared" si="13"/>
        <v>50-59</v>
      </c>
    </row>
    <row r="422" spans="1:14" x14ac:dyDescent="0.25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  <c r="M422">
        <f t="shared" ca="1" si="12"/>
        <v>5</v>
      </c>
      <c r="N422" t="str">
        <f t="shared" si="13"/>
        <v>40-49</v>
      </c>
    </row>
    <row r="423" spans="1:14" x14ac:dyDescent="0.25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  <c r="M423">
        <f t="shared" ca="1" si="12"/>
        <v>6</v>
      </c>
      <c r="N423" t="str">
        <f t="shared" si="13"/>
        <v>30-39</v>
      </c>
    </row>
    <row r="424" spans="1:14" x14ac:dyDescent="0.25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  <c r="M424">
        <f t="shared" ca="1" si="12"/>
        <v>2</v>
      </c>
      <c r="N424" t="str">
        <f t="shared" si="13"/>
        <v>40-49</v>
      </c>
    </row>
    <row r="425" spans="1:14" x14ac:dyDescent="0.25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  <c r="M425">
        <f t="shared" ca="1" si="12"/>
        <v>4</v>
      </c>
      <c r="N425" t="str">
        <f t="shared" si="13"/>
        <v>30-39</v>
      </c>
    </row>
    <row r="426" spans="1:14" x14ac:dyDescent="0.25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  <c r="M426">
        <f t="shared" ca="1" si="12"/>
        <v>3</v>
      </c>
      <c r="N426" t="str">
        <f t="shared" si="13"/>
        <v>30-39</v>
      </c>
    </row>
    <row r="427" spans="1:14" x14ac:dyDescent="0.25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  <c r="M427">
        <f t="shared" ca="1" si="12"/>
        <v>1</v>
      </c>
      <c r="N427" t="str">
        <f t="shared" si="13"/>
        <v>30-39</v>
      </c>
    </row>
    <row r="428" spans="1:14" x14ac:dyDescent="0.25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  <c r="M428">
        <f t="shared" ca="1" si="12"/>
        <v>1</v>
      </c>
      <c r="N428" t="str">
        <f t="shared" si="13"/>
        <v>20-29</v>
      </c>
    </row>
    <row r="429" spans="1:14" x14ac:dyDescent="0.25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  <c r="M429">
        <f t="shared" ca="1" si="12"/>
        <v>2</v>
      </c>
      <c r="N429" t="str">
        <f t="shared" si="13"/>
        <v>30-39</v>
      </c>
    </row>
    <row r="430" spans="1:14" x14ac:dyDescent="0.25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  <c r="M430">
        <f t="shared" ca="1" si="12"/>
        <v>2</v>
      </c>
      <c r="N430" t="str">
        <f t="shared" si="13"/>
        <v>30-39</v>
      </c>
    </row>
    <row r="431" spans="1:14" x14ac:dyDescent="0.25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  <c r="M431">
        <f t="shared" ca="1" si="12"/>
        <v>2</v>
      </c>
      <c r="N431" t="str">
        <f t="shared" si="13"/>
        <v>40-49</v>
      </c>
    </row>
    <row r="432" spans="1:14" x14ac:dyDescent="0.25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  <c r="M432">
        <f t="shared" ca="1" si="12"/>
        <v>6</v>
      </c>
      <c r="N432" t="str">
        <f t="shared" si="13"/>
        <v>50-59</v>
      </c>
    </row>
    <row r="433" spans="1:14" x14ac:dyDescent="0.25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  <c r="M433">
        <f t="shared" ca="1" si="12"/>
        <v>2</v>
      </c>
      <c r="N433" t="str">
        <f t="shared" si="13"/>
        <v>30-39</v>
      </c>
    </row>
    <row r="434" spans="1:14" x14ac:dyDescent="0.25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  <c r="M434">
        <f t="shared" ca="1" si="12"/>
        <v>3</v>
      </c>
      <c r="N434" t="str">
        <f t="shared" si="13"/>
        <v>40-49</v>
      </c>
    </row>
    <row r="435" spans="1:14" x14ac:dyDescent="0.25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  <c r="M435">
        <f t="shared" ca="1" si="12"/>
        <v>5</v>
      </c>
      <c r="N435" t="str">
        <f t="shared" si="13"/>
        <v>30-39</v>
      </c>
    </row>
    <row r="436" spans="1:14" x14ac:dyDescent="0.25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  <c r="M436">
        <f t="shared" ca="1" si="12"/>
        <v>2</v>
      </c>
      <c r="N436" t="str">
        <f t="shared" si="13"/>
        <v>40-49</v>
      </c>
    </row>
    <row r="437" spans="1:14" x14ac:dyDescent="0.25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  <c r="M437">
        <f t="shared" ca="1" si="12"/>
        <v>1</v>
      </c>
      <c r="N437" t="str">
        <f t="shared" si="13"/>
        <v>40-49</v>
      </c>
    </row>
    <row r="438" spans="1:14" x14ac:dyDescent="0.25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  <c r="M438">
        <f t="shared" ca="1" si="12"/>
        <v>6</v>
      </c>
      <c r="N438" t="str">
        <f t="shared" si="13"/>
        <v>30-39</v>
      </c>
    </row>
    <row r="439" spans="1:14" x14ac:dyDescent="0.25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  <c r="M439">
        <f t="shared" ca="1" si="12"/>
        <v>3</v>
      </c>
      <c r="N439" t="str">
        <f t="shared" si="13"/>
        <v>40-49</v>
      </c>
    </row>
    <row r="440" spans="1:14" x14ac:dyDescent="0.25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  <c r="M440">
        <f t="shared" ca="1" si="12"/>
        <v>1</v>
      </c>
      <c r="N440" t="str">
        <f t="shared" si="13"/>
        <v>40-49</v>
      </c>
    </row>
    <row r="441" spans="1:14" x14ac:dyDescent="0.25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  <c r="M441">
        <f t="shared" ca="1" si="12"/>
        <v>4</v>
      </c>
      <c r="N441" t="str">
        <f t="shared" si="13"/>
        <v>30-39</v>
      </c>
    </row>
    <row r="442" spans="1:14" x14ac:dyDescent="0.25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  <c r="M442">
        <f t="shared" ca="1" si="12"/>
        <v>5</v>
      </c>
      <c r="N442" t="str">
        <f t="shared" si="13"/>
        <v>30-39</v>
      </c>
    </row>
    <row r="443" spans="1:14" x14ac:dyDescent="0.25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  <c r="M443">
        <f t="shared" ca="1" si="12"/>
        <v>3</v>
      </c>
      <c r="N443" t="str">
        <f t="shared" si="13"/>
        <v>30-39</v>
      </c>
    </row>
    <row r="444" spans="1:14" x14ac:dyDescent="0.25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  <c r="M444">
        <f t="shared" ca="1" si="12"/>
        <v>3</v>
      </c>
      <c r="N444" t="str">
        <f t="shared" si="13"/>
        <v>30-39</v>
      </c>
    </row>
    <row r="445" spans="1:14" x14ac:dyDescent="0.25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  <c r="M445">
        <f t="shared" ca="1" si="12"/>
        <v>1</v>
      </c>
      <c r="N445" t="str">
        <f t="shared" si="13"/>
        <v>30-39</v>
      </c>
    </row>
    <row r="446" spans="1:14" x14ac:dyDescent="0.25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  <c r="M446">
        <f t="shared" ca="1" si="12"/>
        <v>2</v>
      </c>
      <c r="N446" t="str">
        <f t="shared" si="13"/>
        <v>30-39</v>
      </c>
    </row>
    <row r="447" spans="1:14" x14ac:dyDescent="0.25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  <c r="M447">
        <f t="shared" ca="1" si="12"/>
        <v>2</v>
      </c>
      <c r="N447" t="str">
        <f t="shared" si="13"/>
        <v>30-39</v>
      </c>
    </row>
    <row r="448" spans="1:14" x14ac:dyDescent="0.25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  <c r="M448">
        <f t="shared" ca="1" si="12"/>
        <v>3</v>
      </c>
      <c r="N448" t="str">
        <f t="shared" si="13"/>
        <v>30-39</v>
      </c>
    </row>
    <row r="449" spans="1:14" x14ac:dyDescent="0.25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  <c r="M449">
        <f t="shared" ca="1" si="12"/>
        <v>6</v>
      </c>
      <c r="N449" t="str">
        <f t="shared" si="13"/>
        <v>30-39</v>
      </c>
    </row>
    <row r="450" spans="1:14" x14ac:dyDescent="0.25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  <c r="M450">
        <f t="shared" ref="M450:M513" ca="1" si="14">IF(I450="",DATEDIF(H450,TODAY(),"Y"),DATEDIF(H450,I450,"Y"))</f>
        <v>5</v>
      </c>
      <c r="N450" t="str">
        <f t="shared" ref="N450:N513" si="15">IF(D450&lt;30,"20-29",IF(D450&lt;40,"30-39",IF(D450&lt;50,"40-49",IF(D450&lt;60,"50-59","+60"))))</f>
        <v>40-49</v>
      </c>
    </row>
    <row r="451" spans="1:14" x14ac:dyDescent="0.25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  <c r="M451">
        <f t="shared" ca="1" si="14"/>
        <v>4</v>
      </c>
      <c r="N451" t="str">
        <f t="shared" si="15"/>
        <v>30-39</v>
      </c>
    </row>
    <row r="452" spans="1:14" x14ac:dyDescent="0.25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  <c r="M452">
        <f t="shared" ca="1" si="14"/>
        <v>2</v>
      </c>
      <c r="N452" t="str">
        <f t="shared" si="15"/>
        <v>30-39</v>
      </c>
    </row>
    <row r="453" spans="1:14" x14ac:dyDescent="0.25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  <c r="M453">
        <f t="shared" ca="1" si="14"/>
        <v>2</v>
      </c>
      <c r="N453" t="str">
        <f t="shared" si="15"/>
        <v>40-49</v>
      </c>
    </row>
    <row r="454" spans="1:14" x14ac:dyDescent="0.25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  <c r="M454">
        <f t="shared" ca="1" si="14"/>
        <v>5</v>
      </c>
      <c r="N454" t="str">
        <f t="shared" si="15"/>
        <v>50-59</v>
      </c>
    </row>
    <row r="455" spans="1:14" x14ac:dyDescent="0.25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  <c r="M455">
        <f t="shared" ca="1" si="14"/>
        <v>6</v>
      </c>
      <c r="N455" t="str">
        <f t="shared" si="15"/>
        <v>50-59</v>
      </c>
    </row>
    <row r="456" spans="1:14" x14ac:dyDescent="0.25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  <c r="M456">
        <f t="shared" ca="1" si="14"/>
        <v>2</v>
      </c>
      <c r="N456" t="str">
        <f t="shared" si="15"/>
        <v>50-59</v>
      </c>
    </row>
    <row r="457" spans="1:14" x14ac:dyDescent="0.25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  <c r="M457">
        <f t="shared" ca="1" si="14"/>
        <v>4</v>
      </c>
      <c r="N457" t="str">
        <f t="shared" si="15"/>
        <v>40-49</v>
      </c>
    </row>
    <row r="458" spans="1:14" x14ac:dyDescent="0.25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  <c r="M458">
        <f t="shared" ca="1" si="14"/>
        <v>3</v>
      </c>
      <c r="N458" t="str">
        <f t="shared" si="15"/>
        <v>30-39</v>
      </c>
    </row>
    <row r="459" spans="1:14" x14ac:dyDescent="0.25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  <c r="M459">
        <f t="shared" ca="1" si="14"/>
        <v>1</v>
      </c>
      <c r="N459" t="str">
        <f t="shared" si="15"/>
        <v>40-49</v>
      </c>
    </row>
    <row r="460" spans="1:14" x14ac:dyDescent="0.25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  <c r="M460">
        <f t="shared" ca="1" si="14"/>
        <v>3</v>
      </c>
      <c r="N460" t="str">
        <f t="shared" si="15"/>
        <v>30-39</v>
      </c>
    </row>
    <row r="461" spans="1:14" x14ac:dyDescent="0.25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  <c r="M461">
        <f t="shared" ca="1" si="14"/>
        <v>2</v>
      </c>
      <c r="N461" t="str">
        <f t="shared" si="15"/>
        <v>30-39</v>
      </c>
    </row>
    <row r="462" spans="1:14" x14ac:dyDescent="0.25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  <c r="M462">
        <f t="shared" ca="1" si="14"/>
        <v>0</v>
      </c>
      <c r="N462" t="str">
        <f t="shared" si="15"/>
        <v>30-39</v>
      </c>
    </row>
    <row r="463" spans="1:14" x14ac:dyDescent="0.25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  <c r="M463">
        <f t="shared" ca="1" si="14"/>
        <v>2</v>
      </c>
      <c r="N463" t="str">
        <f t="shared" si="15"/>
        <v>30-39</v>
      </c>
    </row>
    <row r="464" spans="1:14" x14ac:dyDescent="0.25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  <c r="M464">
        <f t="shared" ca="1" si="14"/>
        <v>6</v>
      </c>
      <c r="N464" t="str">
        <f t="shared" si="15"/>
        <v>30-39</v>
      </c>
    </row>
    <row r="465" spans="1:14" x14ac:dyDescent="0.25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  <c r="M465">
        <f t="shared" ca="1" si="14"/>
        <v>2</v>
      </c>
      <c r="N465" t="str">
        <f t="shared" si="15"/>
        <v>30-39</v>
      </c>
    </row>
    <row r="466" spans="1:14" x14ac:dyDescent="0.25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  <c r="M466">
        <f t="shared" ca="1" si="14"/>
        <v>1</v>
      </c>
      <c r="N466" t="str">
        <f t="shared" si="15"/>
        <v>40-49</v>
      </c>
    </row>
    <row r="467" spans="1:14" x14ac:dyDescent="0.25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  <c r="M467">
        <f t="shared" ca="1" si="14"/>
        <v>5</v>
      </c>
      <c r="N467" t="str">
        <f t="shared" si="15"/>
        <v>50-59</v>
      </c>
    </row>
    <row r="468" spans="1:14" x14ac:dyDescent="0.25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  <c r="M468">
        <f t="shared" ca="1" si="14"/>
        <v>2</v>
      </c>
      <c r="N468" t="str">
        <f t="shared" si="15"/>
        <v>30-39</v>
      </c>
    </row>
    <row r="469" spans="1:14" x14ac:dyDescent="0.25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  <c r="M469">
        <f t="shared" ca="1" si="14"/>
        <v>1</v>
      </c>
      <c r="N469" t="str">
        <f t="shared" si="15"/>
        <v>40-49</v>
      </c>
    </row>
    <row r="470" spans="1:14" x14ac:dyDescent="0.25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  <c r="M470">
        <f t="shared" ca="1" si="14"/>
        <v>6</v>
      </c>
      <c r="N470" t="str">
        <f t="shared" si="15"/>
        <v>30-39</v>
      </c>
    </row>
    <row r="471" spans="1:14" x14ac:dyDescent="0.25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  <c r="M471">
        <f t="shared" ca="1" si="14"/>
        <v>3</v>
      </c>
      <c r="N471" t="str">
        <f t="shared" si="15"/>
        <v>40-49</v>
      </c>
    </row>
    <row r="472" spans="1:14" x14ac:dyDescent="0.25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  <c r="M472">
        <f t="shared" ca="1" si="14"/>
        <v>1</v>
      </c>
      <c r="N472" t="str">
        <f t="shared" si="15"/>
        <v>40-49</v>
      </c>
    </row>
    <row r="473" spans="1:14" x14ac:dyDescent="0.25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  <c r="M473">
        <f t="shared" ca="1" si="14"/>
        <v>4</v>
      </c>
      <c r="N473" t="str">
        <f t="shared" si="15"/>
        <v>30-39</v>
      </c>
    </row>
    <row r="474" spans="1:14" x14ac:dyDescent="0.25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  <c r="M474">
        <f t="shared" ca="1" si="14"/>
        <v>5</v>
      </c>
      <c r="N474" t="str">
        <f t="shared" si="15"/>
        <v>40-49</v>
      </c>
    </row>
    <row r="475" spans="1:14" x14ac:dyDescent="0.25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  <c r="M475">
        <f t="shared" ca="1" si="14"/>
        <v>3</v>
      </c>
      <c r="N475" t="str">
        <f t="shared" si="15"/>
        <v>40-49</v>
      </c>
    </row>
    <row r="476" spans="1:14" x14ac:dyDescent="0.25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  <c r="M476">
        <f t="shared" ca="1" si="14"/>
        <v>3</v>
      </c>
      <c r="N476" t="str">
        <f t="shared" si="15"/>
        <v>30-39</v>
      </c>
    </row>
    <row r="477" spans="1:14" x14ac:dyDescent="0.25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  <c r="M477">
        <f t="shared" ca="1" si="14"/>
        <v>1</v>
      </c>
      <c r="N477" t="str">
        <f t="shared" si="15"/>
        <v>30-39</v>
      </c>
    </row>
    <row r="478" spans="1:14" x14ac:dyDescent="0.25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  <c r="M478">
        <f t="shared" ca="1" si="14"/>
        <v>2</v>
      </c>
      <c r="N478" t="str">
        <f t="shared" si="15"/>
        <v>30-39</v>
      </c>
    </row>
    <row r="479" spans="1:14" x14ac:dyDescent="0.25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  <c r="M479">
        <f t="shared" ca="1" si="14"/>
        <v>0</v>
      </c>
      <c r="N479" t="str">
        <f t="shared" si="15"/>
        <v>30-39</v>
      </c>
    </row>
    <row r="480" spans="1:14" x14ac:dyDescent="0.25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  <c r="M480">
        <f t="shared" ca="1" si="14"/>
        <v>3</v>
      </c>
      <c r="N480" t="str">
        <f t="shared" si="15"/>
        <v>30-39</v>
      </c>
    </row>
    <row r="481" spans="1:14" x14ac:dyDescent="0.25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  <c r="M481">
        <f t="shared" ca="1" si="14"/>
        <v>6</v>
      </c>
      <c r="N481" t="str">
        <f t="shared" si="15"/>
        <v>30-39</v>
      </c>
    </row>
    <row r="482" spans="1:14" x14ac:dyDescent="0.25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  <c r="M482">
        <f t="shared" ca="1" si="14"/>
        <v>5</v>
      </c>
      <c r="N482" t="str">
        <f t="shared" si="15"/>
        <v>30-39</v>
      </c>
    </row>
    <row r="483" spans="1:14" x14ac:dyDescent="0.25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  <c r="M483">
        <f t="shared" ca="1" si="14"/>
        <v>4</v>
      </c>
      <c r="N483" t="str">
        <f t="shared" si="15"/>
        <v>30-39</v>
      </c>
    </row>
    <row r="484" spans="1:14" x14ac:dyDescent="0.25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  <c r="M484">
        <f t="shared" ca="1" si="14"/>
        <v>2</v>
      </c>
      <c r="N484" t="str">
        <f t="shared" si="15"/>
        <v>30-39</v>
      </c>
    </row>
    <row r="485" spans="1:14" x14ac:dyDescent="0.25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  <c r="M485">
        <f t="shared" ca="1" si="14"/>
        <v>2</v>
      </c>
      <c r="N485" t="str">
        <f t="shared" si="15"/>
        <v>40-49</v>
      </c>
    </row>
    <row r="486" spans="1:14" x14ac:dyDescent="0.25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  <c r="M486">
        <f t="shared" ca="1" si="14"/>
        <v>5</v>
      </c>
      <c r="N486" t="str">
        <f t="shared" si="15"/>
        <v>30-39</v>
      </c>
    </row>
    <row r="487" spans="1:14" x14ac:dyDescent="0.25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  <c r="M487">
        <f t="shared" ca="1" si="14"/>
        <v>6</v>
      </c>
      <c r="N487" t="str">
        <f t="shared" si="15"/>
        <v>30-39</v>
      </c>
    </row>
    <row r="488" spans="1:14" x14ac:dyDescent="0.25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  <c r="M488">
        <f t="shared" ca="1" si="14"/>
        <v>2</v>
      </c>
      <c r="N488" t="str">
        <f t="shared" si="15"/>
        <v>40-49</v>
      </c>
    </row>
    <row r="489" spans="1:14" x14ac:dyDescent="0.25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  <c r="M489">
        <f t="shared" ca="1" si="14"/>
        <v>4</v>
      </c>
      <c r="N489" t="str">
        <f t="shared" si="15"/>
        <v>50-59</v>
      </c>
    </row>
    <row r="490" spans="1:14" x14ac:dyDescent="0.25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  <c r="M490">
        <f t="shared" ca="1" si="14"/>
        <v>3</v>
      </c>
      <c r="N490" t="str">
        <f t="shared" si="15"/>
        <v>50-59</v>
      </c>
    </row>
    <row r="491" spans="1:14" x14ac:dyDescent="0.25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  <c r="M491">
        <f t="shared" ca="1" si="14"/>
        <v>1</v>
      </c>
      <c r="N491" t="str">
        <f t="shared" si="15"/>
        <v>50-59</v>
      </c>
    </row>
    <row r="492" spans="1:14" x14ac:dyDescent="0.25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  <c r="M492">
        <f t="shared" ca="1" si="14"/>
        <v>1</v>
      </c>
      <c r="N492" t="str">
        <f t="shared" si="15"/>
        <v>40-49</v>
      </c>
    </row>
    <row r="493" spans="1:14" x14ac:dyDescent="0.25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  <c r="M493">
        <f t="shared" ca="1" si="14"/>
        <v>2</v>
      </c>
      <c r="N493" t="str">
        <f t="shared" si="15"/>
        <v>30-39</v>
      </c>
    </row>
    <row r="494" spans="1:14" x14ac:dyDescent="0.25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  <c r="M494">
        <f t="shared" ca="1" si="14"/>
        <v>2</v>
      </c>
      <c r="N494" t="str">
        <f t="shared" si="15"/>
        <v>40-49</v>
      </c>
    </row>
    <row r="495" spans="1:14" x14ac:dyDescent="0.25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  <c r="M495">
        <f t="shared" ca="1" si="14"/>
        <v>2</v>
      </c>
      <c r="N495" t="str">
        <f t="shared" si="15"/>
        <v>30-39</v>
      </c>
    </row>
    <row r="496" spans="1:14" x14ac:dyDescent="0.25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  <c r="M496">
        <f t="shared" ca="1" si="14"/>
        <v>6</v>
      </c>
      <c r="N496" t="str">
        <f t="shared" si="15"/>
        <v>30-39</v>
      </c>
    </row>
    <row r="497" spans="1:14" x14ac:dyDescent="0.25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  <c r="M497">
        <f t="shared" ca="1" si="14"/>
        <v>2</v>
      </c>
      <c r="N497" t="str">
        <f t="shared" si="15"/>
        <v>30-39</v>
      </c>
    </row>
    <row r="498" spans="1:14" x14ac:dyDescent="0.25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  <c r="M498">
        <f t="shared" ca="1" si="14"/>
        <v>1</v>
      </c>
      <c r="N498" t="str">
        <f t="shared" si="15"/>
        <v>30-39</v>
      </c>
    </row>
    <row r="499" spans="1:14" x14ac:dyDescent="0.25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  <c r="M499">
        <f t="shared" ca="1" si="14"/>
        <v>5</v>
      </c>
      <c r="N499" t="str">
        <f t="shared" si="15"/>
        <v>30-39</v>
      </c>
    </row>
    <row r="500" spans="1:14" x14ac:dyDescent="0.25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  <c r="M500">
        <f t="shared" ca="1" si="14"/>
        <v>2</v>
      </c>
      <c r="N500" t="str">
        <f t="shared" si="15"/>
        <v>30-39</v>
      </c>
    </row>
    <row r="501" spans="1:14" x14ac:dyDescent="0.25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  <c r="M501">
        <f t="shared" ca="1" si="14"/>
        <v>1</v>
      </c>
      <c r="N501" t="str">
        <f t="shared" si="15"/>
        <v>40-49</v>
      </c>
    </row>
    <row r="502" spans="1:14" x14ac:dyDescent="0.25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  <c r="M502">
        <f t="shared" ca="1" si="14"/>
        <v>6</v>
      </c>
      <c r="N502" t="str">
        <f t="shared" si="15"/>
        <v>50-59</v>
      </c>
    </row>
    <row r="503" spans="1:14" x14ac:dyDescent="0.25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  <c r="M503">
        <f t="shared" ca="1" si="14"/>
        <v>3</v>
      </c>
      <c r="N503" t="str">
        <f t="shared" si="15"/>
        <v>30-39</v>
      </c>
    </row>
    <row r="504" spans="1:14" x14ac:dyDescent="0.25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  <c r="M504">
        <f t="shared" ca="1" si="14"/>
        <v>1</v>
      </c>
      <c r="N504" t="str">
        <f t="shared" si="15"/>
        <v>40-49</v>
      </c>
    </row>
    <row r="505" spans="1:14" x14ac:dyDescent="0.25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  <c r="M505">
        <f t="shared" ca="1" si="14"/>
        <v>4</v>
      </c>
      <c r="N505" t="str">
        <f t="shared" si="15"/>
        <v>30-39</v>
      </c>
    </row>
    <row r="506" spans="1:14" x14ac:dyDescent="0.25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  <c r="M506">
        <f t="shared" ca="1" si="14"/>
        <v>5</v>
      </c>
      <c r="N506" t="str">
        <f t="shared" si="15"/>
        <v>40-49</v>
      </c>
    </row>
    <row r="507" spans="1:14" x14ac:dyDescent="0.25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  <c r="M507">
        <f t="shared" ca="1" si="14"/>
        <v>3</v>
      </c>
      <c r="N507" t="str">
        <f t="shared" si="15"/>
        <v>40-49</v>
      </c>
    </row>
    <row r="508" spans="1:14" x14ac:dyDescent="0.25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  <c r="M508">
        <f t="shared" ca="1" si="14"/>
        <v>3</v>
      </c>
      <c r="N508" t="str">
        <f t="shared" si="15"/>
        <v>30-39</v>
      </c>
    </row>
    <row r="509" spans="1:14" x14ac:dyDescent="0.25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  <c r="M509">
        <f t="shared" ca="1" si="14"/>
        <v>1</v>
      </c>
      <c r="N509" t="str">
        <f t="shared" si="15"/>
        <v>40-49</v>
      </c>
    </row>
    <row r="510" spans="1:14" x14ac:dyDescent="0.25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  <c r="M510">
        <f t="shared" ca="1" si="14"/>
        <v>2</v>
      </c>
      <c r="N510" t="str">
        <f t="shared" si="15"/>
        <v>40-49</v>
      </c>
    </row>
    <row r="511" spans="1:14" x14ac:dyDescent="0.25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  <c r="M511">
        <f t="shared" ca="1" si="14"/>
        <v>2</v>
      </c>
      <c r="N511" t="str">
        <f t="shared" si="15"/>
        <v>30-39</v>
      </c>
    </row>
    <row r="512" spans="1:14" x14ac:dyDescent="0.25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  <c r="M512">
        <f t="shared" ca="1" si="14"/>
        <v>3</v>
      </c>
      <c r="N512" t="str">
        <f t="shared" si="15"/>
        <v>30-39</v>
      </c>
    </row>
    <row r="513" spans="1:14" x14ac:dyDescent="0.25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  <c r="M513">
        <f t="shared" ca="1" si="14"/>
        <v>6</v>
      </c>
      <c r="N513" t="str">
        <f t="shared" si="15"/>
        <v>30-39</v>
      </c>
    </row>
    <row r="514" spans="1:14" x14ac:dyDescent="0.25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  <c r="M514">
        <f t="shared" ref="M514:M577" ca="1" si="16">IF(I514="",DATEDIF(H514,TODAY(),"Y"),DATEDIF(H514,I514,"Y"))</f>
        <v>5</v>
      </c>
      <c r="N514" t="str">
        <f t="shared" ref="N514:N577" si="17">IF(D514&lt;30,"20-29",IF(D514&lt;40,"30-39",IF(D514&lt;50,"40-49",IF(D514&lt;60,"50-59","+60"))))</f>
        <v>30-39</v>
      </c>
    </row>
    <row r="515" spans="1:14" x14ac:dyDescent="0.25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  <c r="M515">
        <f t="shared" ca="1" si="16"/>
        <v>4</v>
      </c>
      <c r="N515" t="str">
        <f t="shared" si="17"/>
        <v>30-39</v>
      </c>
    </row>
    <row r="516" spans="1:14" x14ac:dyDescent="0.25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  <c r="M516">
        <f t="shared" ca="1" si="16"/>
        <v>2</v>
      </c>
      <c r="N516" t="str">
        <f t="shared" si="17"/>
        <v>30-39</v>
      </c>
    </row>
    <row r="517" spans="1:14" x14ac:dyDescent="0.25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  <c r="M517">
        <f t="shared" ca="1" si="16"/>
        <v>2</v>
      </c>
      <c r="N517" t="str">
        <f t="shared" si="17"/>
        <v>30-39</v>
      </c>
    </row>
    <row r="518" spans="1:14" x14ac:dyDescent="0.25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  <c r="M518">
        <f t="shared" ca="1" si="16"/>
        <v>5</v>
      </c>
      <c r="N518" t="str">
        <f t="shared" si="17"/>
        <v>30-39</v>
      </c>
    </row>
    <row r="519" spans="1:14" x14ac:dyDescent="0.25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  <c r="M519">
        <f t="shared" ca="1" si="16"/>
        <v>6</v>
      </c>
      <c r="N519" t="str">
        <f t="shared" si="17"/>
        <v>30-39</v>
      </c>
    </row>
    <row r="520" spans="1:14" x14ac:dyDescent="0.25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  <c r="M520">
        <f t="shared" ca="1" si="16"/>
        <v>2</v>
      </c>
      <c r="N520" t="str">
        <f t="shared" si="17"/>
        <v>40-49</v>
      </c>
    </row>
    <row r="521" spans="1:14" x14ac:dyDescent="0.25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  <c r="M521">
        <f t="shared" ca="1" si="16"/>
        <v>4</v>
      </c>
      <c r="N521" t="str">
        <f t="shared" si="17"/>
        <v>30-39</v>
      </c>
    </row>
    <row r="522" spans="1:14" x14ac:dyDescent="0.25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  <c r="M522">
        <f t="shared" ca="1" si="16"/>
        <v>3</v>
      </c>
      <c r="N522" t="str">
        <f t="shared" si="17"/>
        <v>30-39</v>
      </c>
    </row>
    <row r="523" spans="1:14" x14ac:dyDescent="0.25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  <c r="M523">
        <f t="shared" ca="1" si="16"/>
        <v>1</v>
      </c>
      <c r="N523" t="str">
        <f t="shared" si="17"/>
        <v>40-49</v>
      </c>
    </row>
    <row r="524" spans="1:14" x14ac:dyDescent="0.25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  <c r="M524">
        <f t="shared" ca="1" si="16"/>
        <v>3</v>
      </c>
      <c r="N524" t="str">
        <f t="shared" si="17"/>
        <v>50-59</v>
      </c>
    </row>
    <row r="525" spans="1:14" x14ac:dyDescent="0.25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  <c r="M525">
        <f t="shared" ca="1" si="16"/>
        <v>2</v>
      </c>
      <c r="N525" t="str">
        <f t="shared" si="17"/>
        <v>50-59</v>
      </c>
    </row>
    <row r="526" spans="1:14" x14ac:dyDescent="0.25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  <c r="M526">
        <f t="shared" ca="1" si="16"/>
        <v>2</v>
      </c>
      <c r="N526" t="str">
        <f t="shared" si="17"/>
        <v>50-59</v>
      </c>
    </row>
    <row r="527" spans="1:14" x14ac:dyDescent="0.25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  <c r="M527">
        <f t="shared" ca="1" si="16"/>
        <v>2</v>
      </c>
      <c r="N527" t="str">
        <f t="shared" si="17"/>
        <v>40-49</v>
      </c>
    </row>
    <row r="528" spans="1:14" x14ac:dyDescent="0.25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  <c r="M528">
        <f t="shared" ca="1" si="16"/>
        <v>6</v>
      </c>
      <c r="N528" t="str">
        <f t="shared" si="17"/>
        <v>30-39</v>
      </c>
    </row>
    <row r="529" spans="1:14" x14ac:dyDescent="0.25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  <c r="M529">
        <f t="shared" ca="1" si="16"/>
        <v>2</v>
      </c>
      <c r="N529" t="str">
        <f t="shared" si="17"/>
        <v>40-49</v>
      </c>
    </row>
    <row r="530" spans="1:14" x14ac:dyDescent="0.25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  <c r="M530">
        <f t="shared" ca="1" si="16"/>
        <v>1</v>
      </c>
      <c r="N530" t="str">
        <f t="shared" si="17"/>
        <v>30-39</v>
      </c>
    </row>
    <row r="531" spans="1:14" x14ac:dyDescent="0.25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  <c r="M531">
        <f t="shared" ca="1" si="16"/>
        <v>5</v>
      </c>
      <c r="N531" t="str">
        <f t="shared" si="17"/>
        <v>30-39</v>
      </c>
    </row>
    <row r="532" spans="1:14" x14ac:dyDescent="0.25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  <c r="M532">
        <f t="shared" ca="1" si="16"/>
        <v>2</v>
      </c>
      <c r="N532" t="str">
        <f t="shared" si="17"/>
        <v>30-39</v>
      </c>
    </row>
    <row r="533" spans="1:14" x14ac:dyDescent="0.25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  <c r="M533">
        <f t="shared" ca="1" si="16"/>
        <v>1</v>
      </c>
      <c r="N533" t="str">
        <f t="shared" si="17"/>
        <v>30-39</v>
      </c>
    </row>
    <row r="534" spans="1:14" x14ac:dyDescent="0.25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  <c r="M534">
        <f t="shared" ca="1" si="16"/>
        <v>6</v>
      </c>
      <c r="N534" t="str">
        <f t="shared" si="17"/>
        <v>30-39</v>
      </c>
    </row>
    <row r="535" spans="1:14" x14ac:dyDescent="0.25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  <c r="M535">
        <f t="shared" ca="1" si="16"/>
        <v>3</v>
      </c>
      <c r="N535" t="str">
        <f t="shared" si="17"/>
        <v>30-39</v>
      </c>
    </row>
    <row r="536" spans="1:14" x14ac:dyDescent="0.25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  <c r="M536">
        <f t="shared" ca="1" si="16"/>
        <v>1</v>
      </c>
      <c r="N536" t="str">
        <f t="shared" si="17"/>
        <v>40-49</v>
      </c>
    </row>
    <row r="537" spans="1:14" x14ac:dyDescent="0.25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  <c r="M537">
        <f t="shared" ca="1" si="16"/>
        <v>4</v>
      </c>
      <c r="N537" t="str">
        <f t="shared" si="17"/>
        <v>50-59</v>
      </c>
    </row>
    <row r="538" spans="1:14" x14ac:dyDescent="0.25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  <c r="M538">
        <f t="shared" ca="1" si="16"/>
        <v>5</v>
      </c>
      <c r="N538" t="str">
        <f t="shared" si="17"/>
        <v>30-39</v>
      </c>
    </row>
    <row r="539" spans="1:14" x14ac:dyDescent="0.25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  <c r="M539">
        <f t="shared" ca="1" si="16"/>
        <v>3</v>
      </c>
      <c r="N539" t="str">
        <f t="shared" si="17"/>
        <v>40-49</v>
      </c>
    </row>
    <row r="540" spans="1:14" x14ac:dyDescent="0.25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  <c r="M540">
        <f t="shared" ca="1" si="16"/>
        <v>3</v>
      </c>
      <c r="N540" t="str">
        <f t="shared" si="17"/>
        <v>30-39</v>
      </c>
    </row>
    <row r="541" spans="1:14" x14ac:dyDescent="0.25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  <c r="M541">
        <f t="shared" ca="1" si="16"/>
        <v>1</v>
      </c>
      <c r="N541" t="str">
        <f t="shared" si="17"/>
        <v>40-49</v>
      </c>
    </row>
    <row r="542" spans="1:14" x14ac:dyDescent="0.25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  <c r="M542">
        <f t="shared" ca="1" si="16"/>
        <v>2</v>
      </c>
      <c r="N542" t="str">
        <f t="shared" si="17"/>
        <v>40-49</v>
      </c>
    </row>
    <row r="543" spans="1:14" x14ac:dyDescent="0.25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  <c r="M543">
        <f t="shared" ca="1" si="16"/>
        <v>2</v>
      </c>
      <c r="N543" t="str">
        <f t="shared" si="17"/>
        <v>30-39</v>
      </c>
    </row>
    <row r="544" spans="1:14" x14ac:dyDescent="0.25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  <c r="M544">
        <f t="shared" ca="1" si="16"/>
        <v>3</v>
      </c>
      <c r="N544" t="str">
        <f t="shared" si="17"/>
        <v>40-49</v>
      </c>
    </row>
    <row r="545" spans="1:14" x14ac:dyDescent="0.25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  <c r="M545">
        <f t="shared" ca="1" si="16"/>
        <v>6</v>
      </c>
      <c r="N545" t="str">
        <f t="shared" si="17"/>
        <v>40-49</v>
      </c>
    </row>
    <row r="546" spans="1:14" x14ac:dyDescent="0.25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  <c r="M546">
        <f t="shared" ca="1" si="16"/>
        <v>5</v>
      </c>
      <c r="N546" t="str">
        <f t="shared" si="17"/>
        <v>30-39</v>
      </c>
    </row>
    <row r="547" spans="1:14" x14ac:dyDescent="0.25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  <c r="M547">
        <f t="shared" ca="1" si="16"/>
        <v>4</v>
      </c>
      <c r="N547" t="str">
        <f t="shared" si="17"/>
        <v>30-39</v>
      </c>
    </row>
    <row r="548" spans="1:14" x14ac:dyDescent="0.25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  <c r="M548">
        <f t="shared" ca="1" si="16"/>
        <v>2</v>
      </c>
      <c r="N548" t="str">
        <f t="shared" si="17"/>
        <v>30-39</v>
      </c>
    </row>
    <row r="549" spans="1:14" x14ac:dyDescent="0.25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  <c r="M549">
        <f t="shared" ca="1" si="16"/>
        <v>2</v>
      </c>
      <c r="N549" t="str">
        <f t="shared" si="17"/>
        <v>30-39</v>
      </c>
    </row>
    <row r="550" spans="1:14" x14ac:dyDescent="0.25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  <c r="M550">
        <f t="shared" ca="1" si="16"/>
        <v>5</v>
      </c>
      <c r="N550" t="str">
        <f t="shared" si="17"/>
        <v>30-39</v>
      </c>
    </row>
    <row r="551" spans="1:14" x14ac:dyDescent="0.25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  <c r="M551">
        <f t="shared" ca="1" si="16"/>
        <v>4</v>
      </c>
      <c r="N551" t="str">
        <f t="shared" si="17"/>
        <v>20-29</v>
      </c>
    </row>
    <row r="552" spans="1:14" x14ac:dyDescent="0.25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  <c r="M552">
        <f t="shared" ca="1" si="16"/>
        <v>2</v>
      </c>
      <c r="N552" t="str">
        <f t="shared" si="17"/>
        <v>30-39</v>
      </c>
    </row>
    <row r="553" spans="1:14" x14ac:dyDescent="0.25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  <c r="M553">
        <f t="shared" ca="1" si="16"/>
        <v>4</v>
      </c>
      <c r="N553" t="str">
        <f t="shared" si="17"/>
        <v>30-39</v>
      </c>
    </row>
    <row r="554" spans="1:14" x14ac:dyDescent="0.25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  <c r="M554">
        <f t="shared" ca="1" si="16"/>
        <v>3</v>
      </c>
      <c r="N554" t="str">
        <f t="shared" si="17"/>
        <v>30-39</v>
      </c>
    </row>
    <row r="555" spans="1:14" x14ac:dyDescent="0.25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  <c r="M555">
        <f t="shared" ca="1" si="16"/>
        <v>1</v>
      </c>
      <c r="N555" t="str">
        <f t="shared" si="17"/>
        <v>40-49</v>
      </c>
    </row>
    <row r="556" spans="1:14" x14ac:dyDescent="0.25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  <c r="M556">
        <f t="shared" ca="1" si="16"/>
        <v>3</v>
      </c>
      <c r="N556" t="str">
        <f t="shared" si="17"/>
        <v>30-39</v>
      </c>
    </row>
    <row r="557" spans="1:14" x14ac:dyDescent="0.25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  <c r="M557">
        <f t="shared" ca="1" si="16"/>
        <v>2</v>
      </c>
      <c r="N557" t="str">
        <f t="shared" si="17"/>
        <v>30-39</v>
      </c>
    </row>
    <row r="558" spans="1:14" x14ac:dyDescent="0.25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  <c r="M558">
        <f t="shared" ca="1" si="16"/>
        <v>2</v>
      </c>
      <c r="N558" t="str">
        <f t="shared" si="17"/>
        <v>40-49</v>
      </c>
    </row>
    <row r="559" spans="1:14" x14ac:dyDescent="0.25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  <c r="M559">
        <f t="shared" ca="1" si="16"/>
        <v>2</v>
      </c>
      <c r="N559" t="str">
        <f t="shared" si="17"/>
        <v>50-59</v>
      </c>
    </row>
    <row r="560" spans="1:14" x14ac:dyDescent="0.25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  <c r="M560">
        <f t="shared" ca="1" si="16"/>
        <v>6</v>
      </c>
      <c r="N560" t="str">
        <f t="shared" si="17"/>
        <v>50-59</v>
      </c>
    </row>
    <row r="561" spans="1:14" x14ac:dyDescent="0.25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  <c r="M561">
        <f t="shared" ca="1" si="16"/>
        <v>2</v>
      </c>
      <c r="N561" t="str">
        <f t="shared" si="17"/>
        <v>50-59</v>
      </c>
    </row>
    <row r="562" spans="1:14" x14ac:dyDescent="0.25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  <c r="M562">
        <f t="shared" ca="1" si="16"/>
        <v>1</v>
      </c>
      <c r="N562" t="str">
        <f t="shared" si="17"/>
        <v>40-49</v>
      </c>
    </row>
    <row r="563" spans="1:14" x14ac:dyDescent="0.25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  <c r="M563">
        <f t="shared" ca="1" si="16"/>
        <v>5</v>
      </c>
      <c r="N563" t="str">
        <f t="shared" si="17"/>
        <v>30-39</v>
      </c>
    </row>
    <row r="564" spans="1:14" x14ac:dyDescent="0.25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  <c r="M564">
        <f t="shared" ca="1" si="16"/>
        <v>2</v>
      </c>
      <c r="N564" t="str">
        <f t="shared" si="17"/>
        <v>40-49</v>
      </c>
    </row>
    <row r="565" spans="1:14" x14ac:dyDescent="0.25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  <c r="M565">
        <f t="shared" ca="1" si="16"/>
        <v>3</v>
      </c>
      <c r="N565" t="str">
        <f t="shared" si="17"/>
        <v>30-39</v>
      </c>
    </row>
    <row r="566" spans="1:14" x14ac:dyDescent="0.25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  <c r="M566">
        <f t="shared" ca="1" si="16"/>
        <v>6</v>
      </c>
      <c r="N566" t="str">
        <f t="shared" si="17"/>
        <v>30-39</v>
      </c>
    </row>
    <row r="567" spans="1:14" x14ac:dyDescent="0.25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  <c r="M567">
        <f t="shared" ca="1" si="16"/>
        <v>3</v>
      </c>
      <c r="N567" t="str">
        <f t="shared" si="17"/>
        <v>30-39</v>
      </c>
    </row>
    <row r="568" spans="1:14" x14ac:dyDescent="0.25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  <c r="M568">
        <f t="shared" ca="1" si="16"/>
        <v>1</v>
      </c>
      <c r="N568" t="str">
        <f t="shared" si="17"/>
        <v>30-39</v>
      </c>
    </row>
    <row r="569" spans="1:14" x14ac:dyDescent="0.25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  <c r="M569">
        <f t="shared" ca="1" si="16"/>
        <v>4</v>
      </c>
      <c r="N569" t="str">
        <f t="shared" si="17"/>
        <v>30-39</v>
      </c>
    </row>
    <row r="570" spans="1:14" x14ac:dyDescent="0.25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  <c r="M570">
        <f t="shared" ca="1" si="16"/>
        <v>5</v>
      </c>
      <c r="N570" t="str">
        <f t="shared" si="17"/>
        <v>30-39</v>
      </c>
    </row>
    <row r="571" spans="1:14" x14ac:dyDescent="0.25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  <c r="M571">
        <f t="shared" ca="1" si="16"/>
        <v>3</v>
      </c>
      <c r="N571" t="str">
        <f t="shared" si="17"/>
        <v>40-49</v>
      </c>
    </row>
    <row r="572" spans="1:14" x14ac:dyDescent="0.25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  <c r="M572">
        <f t="shared" ca="1" si="16"/>
        <v>3</v>
      </c>
      <c r="N572" t="str">
        <f t="shared" si="17"/>
        <v>50-59</v>
      </c>
    </row>
    <row r="573" spans="1:14" x14ac:dyDescent="0.25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  <c r="M573">
        <f t="shared" ca="1" si="16"/>
        <v>1</v>
      </c>
      <c r="N573" t="str">
        <f t="shared" si="17"/>
        <v>30-39</v>
      </c>
    </row>
    <row r="574" spans="1:14" x14ac:dyDescent="0.25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  <c r="M574">
        <f t="shared" ca="1" si="16"/>
        <v>2</v>
      </c>
      <c r="N574" t="str">
        <f t="shared" si="17"/>
        <v>40-49</v>
      </c>
    </row>
    <row r="575" spans="1:14" x14ac:dyDescent="0.25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  <c r="M575">
        <f t="shared" ca="1" si="16"/>
        <v>0</v>
      </c>
      <c r="N575" t="str">
        <f t="shared" si="17"/>
        <v>20-29</v>
      </c>
    </row>
    <row r="576" spans="1:14" x14ac:dyDescent="0.25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  <c r="M576">
        <f t="shared" ca="1" si="16"/>
        <v>3</v>
      </c>
      <c r="N576" t="str">
        <f t="shared" si="17"/>
        <v>40-49</v>
      </c>
    </row>
    <row r="577" spans="1:14" x14ac:dyDescent="0.25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  <c r="M577">
        <f t="shared" ca="1" si="16"/>
        <v>6</v>
      </c>
      <c r="N577" t="str">
        <f t="shared" si="17"/>
        <v>40-49</v>
      </c>
    </row>
    <row r="578" spans="1:14" x14ac:dyDescent="0.25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  <c r="M578">
        <f t="shared" ref="M578:M641" ca="1" si="18">IF(I578="",DATEDIF(H578,TODAY(),"Y"),DATEDIF(H578,I578,"Y"))</f>
        <v>5</v>
      </c>
      <c r="N578" t="str">
        <f t="shared" ref="N578:N641" si="19">IF(D578&lt;30,"20-29",IF(D578&lt;40,"30-39",IF(D578&lt;50,"40-49",IF(D578&lt;60,"50-59","+60"))))</f>
        <v>30-39</v>
      </c>
    </row>
    <row r="579" spans="1:14" x14ac:dyDescent="0.25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  <c r="M579">
        <f t="shared" ca="1" si="18"/>
        <v>2</v>
      </c>
      <c r="N579" t="str">
        <f t="shared" si="19"/>
        <v>40-49</v>
      </c>
    </row>
    <row r="580" spans="1:14" x14ac:dyDescent="0.25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  <c r="M580">
        <f t="shared" ca="1" si="18"/>
        <v>2</v>
      </c>
      <c r="N580" t="str">
        <f t="shared" si="19"/>
        <v>40-49</v>
      </c>
    </row>
    <row r="581" spans="1:14" x14ac:dyDescent="0.25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  <c r="M581">
        <f t="shared" ca="1" si="18"/>
        <v>2</v>
      </c>
      <c r="N581" t="str">
        <f t="shared" si="19"/>
        <v>50-59</v>
      </c>
    </row>
    <row r="582" spans="1:14" x14ac:dyDescent="0.25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  <c r="M582">
        <f t="shared" ca="1" si="18"/>
        <v>5</v>
      </c>
      <c r="N582" t="str">
        <f t="shared" si="19"/>
        <v>30-39</v>
      </c>
    </row>
    <row r="583" spans="1:14" x14ac:dyDescent="0.25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  <c r="M583">
        <f t="shared" ca="1" si="18"/>
        <v>6</v>
      </c>
      <c r="N583" t="str">
        <f t="shared" si="19"/>
        <v>50-59</v>
      </c>
    </row>
    <row r="584" spans="1:14" x14ac:dyDescent="0.25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  <c r="M584">
        <f t="shared" ca="1" si="18"/>
        <v>2</v>
      </c>
      <c r="N584" t="str">
        <f t="shared" si="19"/>
        <v>30-39</v>
      </c>
    </row>
    <row r="585" spans="1:14" x14ac:dyDescent="0.25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  <c r="M585">
        <f t="shared" ca="1" si="18"/>
        <v>4</v>
      </c>
      <c r="N585" t="str">
        <f t="shared" si="19"/>
        <v>30-39</v>
      </c>
    </row>
    <row r="586" spans="1:14" x14ac:dyDescent="0.25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  <c r="M586">
        <f t="shared" ca="1" si="18"/>
        <v>3</v>
      </c>
      <c r="N586" t="str">
        <f t="shared" si="19"/>
        <v>30-39</v>
      </c>
    </row>
    <row r="587" spans="1:14" x14ac:dyDescent="0.25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  <c r="M587">
        <f t="shared" ca="1" si="18"/>
        <v>1</v>
      </c>
      <c r="N587" t="str">
        <f t="shared" si="19"/>
        <v>30-39</v>
      </c>
    </row>
    <row r="588" spans="1:14" x14ac:dyDescent="0.25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  <c r="M588">
        <f t="shared" ca="1" si="18"/>
        <v>3</v>
      </c>
      <c r="N588" t="str">
        <f t="shared" si="19"/>
        <v>50-59</v>
      </c>
    </row>
    <row r="589" spans="1:14" x14ac:dyDescent="0.25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  <c r="M589">
        <f t="shared" ca="1" si="18"/>
        <v>1</v>
      </c>
      <c r="N589" t="str">
        <f t="shared" si="19"/>
        <v>30-39</v>
      </c>
    </row>
    <row r="590" spans="1:14" x14ac:dyDescent="0.25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  <c r="M590">
        <f t="shared" ca="1" si="18"/>
        <v>2</v>
      </c>
      <c r="N590" t="str">
        <f t="shared" si="19"/>
        <v>40-49</v>
      </c>
    </row>
    <row r="591" spans="1:14" x14ac:dyDescent="0.25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  <c r="M591">
        <f t="shared" ca="1" si="18"/>
        <v>2</v>
      </c>
      <c r="N591" t="str">
        <f t="shared" si="19"/>
        <v>30-39</v>
      </c>
    </row>
    <row r="592" spans="1:14" x14ac:dyDescent="0.25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  <c r="M592">
        <f t="shared" ca="1" si="18"/>
        <v>6</v>
      </c>
      <c r="N592" t="str">
        <f t="shared" si="19"/>
        <v>30-39</v>
      </c>
    </row>
    <row r="593" spans="1:14" x14ac:dyDescent="0.25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  <c r="M593">
        <f t="shared" ca="1" si="18"/>
        <v>2</v>
      </c>
      <c r="N593" t="str">
        <f t="shared" si="19"/>
        <v>40-49</v>
      </c>
    </row>
    <row r="594" spans="1:14" x14ac:dyDescent="0.25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  <c r="M594">
        <f t="shared" ca="1" si="18"/>
        <v>1</v>
      </c>
      <c r="N594" t="str">
        <f t="shared" si="19"/>
        <v>30-39</v>
      </c>
    </row>
    <row r="595" spans="1:14" x14ac:dyDescent="0.25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  <c r="M595">
        <f t="shared" ca="1" si="18"/>
        <v>5</v>
      </c>
      <c r="N595" t="str">
        <f t="shared" si="19"/>
        <v>40-49</v>
      </c>
    </row>
    <row r="596" spans="1:14" x14ac:dyDescent="0.25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  <c r="M596">
        <f t="shared" ca="1" si="18"/>
        <v>2</v>
      </c>
      <c r="N596" t="str">
        <f t="shared" si="19"/>
        <v>50-59</v>
      </c>
    </row>
    <row r="597" spans="1:14" x14ac:dyDescent="0.25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  <c r="M597">
        <f t="shared" ca="1" si="18"/>
        <v>1</v>
      </c>
      <c r="N597" t="str">
        <f t="shared" si="19"/>
        <v>40-49</v>
      </c>
    </row>
    <row r="598" spans="1:14" x14ac:dyDescent="0.25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  <c r="M598">
        <f t="shared" ca="1" si="18"/>
        <v>6</v>
      </c>
      <c r="N598" t="str">
        <f t="shared" si="19"/>
        <v>30-39</v>
      </c>
    </row>
    <row r="599" spans="1:14" x14ac:dyDescent="0.25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  <c r="M599">
        <f t="shared" ca="1" si="18"/>
        <v>3</v>
      </c>
      <c r="N599" t="str">
        <f t="shared" si="19"/>
        <v>50-59</v>
      </c>
    </row>
    <row r="600" spans="1:14" x14ac:dyDescent="0.25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  <c r="M600">
        <f t="shared" ca="1" si="18"/>
        <v>1</v>
      </c>
      <c r="N600" t="str">
        <f t="shared" si="19"/>
        <v>30-39</v>
      </c>
    </row>
    <row r="601" spans="1:14" x14ac:dyDescent="0.25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  <c r="M601">
        <f t="shared" ca="1" si="18"/>
        <v>4</v>
      </c>
      <c r="N601" t="str">
        <f t="shared" si="19"/>
        <v>30-39</v>
      </c>
    </row>
    <row r="602" spans="1:14" x14ac:dyDescent="0.25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  <c r="M602">
        <f t="shared" ca="1" si="18"/>
        <v>5</v>
      </c>
      <c r="N602" t="str">
        <f t="shared" si="19"/>
        <v>40-49</v>
      </c>
    </row>
    <row r="603" spans="1:14" x14ac:dyDescent="0.25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  <c r="M603">
        <f t="shared" ca="1" si="18"/>
        <v>3</v>
      </c>
      <c r="N603" t="str">
        <f t="shared" si="19"/>
        <v>50-59</v>
      </c>
    </row>
    <row r="604" spans="1:14" x14ac:dyDescent="0.25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  <c r="M604">
        <f t="shared" ca="1" si="18"/>
        <v>3</v>
      </c>
      <c r="N604" t="str">
        <f t="shared" si="19"/>
        <v>30-39</v>
      </c>
    </row>
    <row r="605" spans="1:14" x14ac:dyDescent="0.25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  <c r="M605">
        <f t="shared" ca="1" si="18"/>
        <v>1</v>
      </c>
      <c r="N605" t="str">
        <f t="shared" si="19"/>
        <v>40-49</v>
      </c>
    </row>
    <row r="606" spans="1:14" x14ac:dyDescent="0.25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  <c r="M606">
        <f t="shared" ca="1" si="18"/>
        <v>0</v>
      </c>
      <c r="N606" t="str">
        <f t="shared" si="19"/>
        <v>20-29</v>
      </c>
    </row>
    <row r="607" spans="1:14" x14ac:dyDescent="0.25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  <c r="M607">
        <f t="shared" ca="1" si="18"/>
        <v>2</v>
      </c>
      <c r="N607" t="str">
        <f t="shared" si="19"/>
        <v>40-49</v>
      </c>
    </row>
    <row r="608" spans="1:14" x14ac:dyDescent="0.25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  <c r="M608">
        <f t="shared" ca="1" si="18"/>
        <v>3</v>
      </c>
      <c r="N608" t="str">
        <f t="shared" si="19"/>
        <v>40-49</v>
      </c>
    </row>
    <row r="609" spans="1:14" x14ac:dyDescent="0.25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  <c r="M609">
        <f t="shared" ca="1" si="18"/>
        <v>2</v>
      </c>
      <c r="N609" t="str">
        <f t="shared" si="19"/>
        <v>30-39</v>
      </c>
    </row>
    <row r="610" spans="1:14" x14ac:dyDescent="0.25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  <c r="M610">
        <f t="shared" ca="1" si="18"/>
        <v>5</v>
      </c>
      <c r="N610" t="str">
        <f t="shared" si="19"/>
        <v>40-49</v>
      </c>
    </row>
    <row r="611" spans="1:14" x14ac:dyDescent="0.25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  <c r="M611">
        <f t="shared" ca="1" si="18"/>
        <v>4</v>
      </c>
      <c r="N611" t="str">
        <f t="shared" si="19"/>
        <v>40-49</v>
      </c>
    </row>
    <row r="612" spans="1:14" x14ac:dyDescent="0.25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  <c r="M612">
        <f t="shared" ca="1" si="18"/>
        <v>2</v>
      </c>
      <c r="N612" t="str">
        <f t="shared" si="19"/>
        <v>50-59</v>
      </c>
    </row>
    <row r="613" spans="1:14" x14ac:dyDescent="0.25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  <c r="M613">
        <f t="shared" ca="1" si="18"/>
        <v>2</v>
      </c>
      <c r="N613" t="str">
        <f t="shared" si="19"/>
        <v>30-39</v>
      </c>
    </row>
    <row r="614" spans="1:14" x14ac:dyDescent="0.25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  <c r="M614">
        <f t="shared" ca="1" si="18"/>
        <v>5</v>
      </c>
      <c r="N614" t="str">
        <f t="shared" si="19"/>
        <v>40-49</v>
      </c>
    </row>
    <row r="615" spans="1:14" x14ac:dyDescent="0.25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  <c r="M615">
        <f t="shared" ca="1" si="18"/>
        <v>6</v>
      </c>
      <c r="N615" t="str">
        <f t="shared" si="19"/>
        <v>30-39</v>
      </c>
    </row>
    <row r="616" spans="1:14" x14ac:dyDescent="0.25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  <c r="M616">
        <f t="shared" ca="1" si="18"/>
        <v>2</v>
      </c>
      <c r="N616" t="str">
        <f t="shared" si="19"/>
        <v>40-49</v>
      </c>
    </row>
    <row r="617" spans="1:14" x14ac:dyDescent="0.25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  <c r="M617">
        <f t="shared" ca="1" si="18"/>
        <v>4</v>
      </c>
      <c r="N617" t="str">
        <f t="shared" si="19"/>
        <v>40-49</v>
      </c>
    </row>
    <row r="618" spans="1:14" x14ac:dyDescent="0.25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  <c r="M618">
        <f t="shared" ca="1" si="18"/>
        <v>3</v>
      </c>
      <c r="N618" t="str">
        <f t="shared" si="19"/>
        <v>40-49</v>
      </c>
    </row>
    <row r="619" spans="1:14" x14ac:dyDescent="0.25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  <c r="M619">
        <f t="shared" ca="1" si="18"/>
        <v>1</v>
      </c>
      <c r="N619" t="str">
        <f t="shared" si="19"/>
        <v>40-49</v>
      </c>
    </row>
    <row r="620" spans="1:14" x14ac:dyDescent="0.25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  <c r="M620">
        <f t="shared" ca="1" si="18"/>
        <v>3</v>
      </c>
      <c r="N620" t="str">
        <f t="shared" si="19"/>
        <v>30-39</v>
      </c>
    </row>
    <row r="621" spans="1:14" x14ac:dyDescent="0.25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  <c r="M621">
        <f t="shared" ca="1" si="18"/>
        <v>2</v>
      </c>
      <c r="N621" t="str">
        <f t="shared" si="19"/>
        <v>40-49</v>
      </c>
    </row>
    <row r="622" spans="1:14" x14ac:dyDescent="0.25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  <c r="M622">
        <f t="shared" ca="1" si="18"/>
        <v>0</v>
      </c>
      <c r="N622" t="str">
        <f t="shared" si="19"/>
        <v>30-39</v>
      </c>
    </row>
    <row r="623" spans="1:14" x14ac:dyDescent="0.25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  <c r="M623">
        <f t="shared" ca="1" si="18"/>
        <v>0</v>
      </c>
      <c r="N623" t="str">
        <f t="shared" si="19"/>
        <v>30-39</v>
      </c>
    </row>
    <row r="624" spans="1:14" x14ac:dyDescent="0.25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  <c r="M624">
        <f t="shared" ca="1" si="18"/>
        <v>3</v>
      </c>
      <c r="N624" t="str">
        <f t="shared" si="19"/>
        <v>40-49</v>
      </c>
    </row>
    <row r="625" spans="1:14" x14ac:dyDescent="0.25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  <c r="M625">
        <f t="shared" ca="1" si="18"/>
        <v>2</v>
      </c>
      <c r="N625" t="str">
        <f t="shared" si="19"/>
        <v>50-59</v>
      </c>
    </row>
    <row r="626" spans="1:14" x14ac:dyDescent="0.25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  <c r="M626">
        <f t="shared" ca="1" si="18"/>
        <v>1</v>
      </c>
      <c r="N626" t="str">
        <f t="shared" si="19"/>
        <v>50-59</v>
      </c>
    </row>
    <row r="627" spans="1:14" x14ac:dyDescent="0.25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  <c r="M627">
        <f t="shared" ca="1" si="18"/>
        <v>5</v>
      </c>
      <c r="N627" t="str">
        <f t="shared" si="19"/>
        <v>50-59</v>
      </c>
    </row>
    <row r="628" spans="1:14" x14ac:dyDescent="0.25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  <c r="M628">
        <f t="shared" ca="1" si="18"/>
        <v>2</v>
      </c>
      <c r="N628" t="str">
        <f t="shared" si="19"/>
        <v>40-49</v>
      </c>
    </row>
    <row r="629" spans="1:14" x14ac:dyDescent="0.25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  <c r="M629">
        <f t="shared" ca="1" si="18"/>
        <v>1</v>
      </c>
      <c r="N629" t="str">
        <f t="shared" si="19"/>
        <v>30-39</v>
      </c>
    </row>
    <row r="630" spans="1:14" x14ac:dyDescent="0.25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  <c r="M630">
        <f t="shared" ca="1" si="18"/>
        <v>6</v>
      </c>
      <c r="N630" t="str">
        <f t="shared" si="19"/>
        <v>40-49</v>
      </c>
    </row>
    <row r="631" spans="1:14" x14ac:dyDescent="0.25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  <c r="M631">
        <f t="shared" ca="1" si="18"/>
        <v>0</v>
      </c>
      <c r="N631" t="str">
        <f t="shared" si="19"/>
        <v>30-39</v>
      </c>
    </row>
    <row r="632" spans="1:14" x14ac:dyDescent="0.25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  <c r="M632">
        <f t="shared" ca="1" si="18"/>
        <v>0</v>
      </c>
      <c r="N632" t="str">
        <f t="shared" si="19"/>
        <v>30-39</v>
      </c>
    </row>
    <row r="633" spans="1:14" x14ac:dyDescent="0.25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  <c r="M633">
        <f t="shared" ca="1" si="18"/>
        <v>4</v>
      </c>
      <c r="N633" t="str">
        <f t="shared" si="19"/>
        <v>30-39</v>
      </c>
    </row>
    <row r="634" spans="1:14" x14ac:dyDescent="0.25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  <c r="M634">
        <f t="shared" ca="1" si="18"/>
        <v>5</v>
      </c>
      <c r="N634" t="str">
        <f t="shared" si="19"/>
        <v>50-59</v>
      </c>
    </row>
    <row r="635" spans="1:14" x14ac:dyDescent="0.25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  <c r="M635">
        <f t="shared" ca="1" si="18"/>
        <v>3</v>
      </c>
      <c r="N635" t="str">
        <f t="shared" si="19"/>
        <v>30-39</v>
      </c>
    </row>
    <row r="636" spans="1:14" x14ac:dyDescent="0.25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  <c r="M636">
        <f t="shared" ca="1" si="18"/>
        <v>1</v>
      </c>
      <c r="N636" t="str">
        <f t="shared" si="19"/>
        <v>30-39</v>
      </c>
    </row>
    <row r="637" spans="1:14" x14ac:dyDescent="0.25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  <c r="M637">
        <f t="shared" ca="1" si="18"/>
        <v>1</v>
      </c>
      <c r="N637" t="str">
        <f t="shared" si="19"/>
        <v>40-49</v>
      </c>
    </row>
    <row r="638" spans="1:14" x14ac:dyDescent="0.25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  <c r="M638">
        <f t="shared" ca="1" si="18"/>
        <v>0</v>
      </c>
      <c r="N638" t="str">
        <f t="shared" si="19"/>
        <v>50-59</v>
      </c>
    </row>
    <row r="639" spans="1:14" x14ac:dyDescent="0.25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  <c r="M639">
        <f t="shared" ca="1" si="18"/>
        <v>2</v>
      </c>
      <c r="N639" t="str">
        <f t="shared" si="19"/>
        <v>30-39</v>
      </c>
    </row>
    <row r="640" spans="1:14" x14ac:dyDescent="0.25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  <c r="M640">
        <f t="shared" ca="1" si="18"/>
        <v>3</v>
      </c>
      <c r="N640" t="str">
        <f t="shared" si="19"/>
        <v>40-49</v>
      </c>
    </row>
    <row r="641" spans="1:14" x14ac:dyDescent="0.25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  <c r="M641">
        <f t="shared" ca="1" si="18"/>
        <v>2</v>
      </c>
      <c r="N641" t="str">
        <f t="shared" si="19"/>
        <v>20-29</v>
      </c>
    </row>
    <row r="642" spans="1:14" x14ac:dyDescent="0.25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  <c r="M642">
        <f t="shared" ref="M642:M705" ca="1" si="20">IF(I642="",DATEDIF(H642,TODAY(),"Y"),DATEDIF(H642,I642,"Y"))</f>
        <v>2</v>
      </c>
      <c r="N642" t="str">
        <f t="shared" ref="N642:N705" si="21">IF(D642&lt;30,"20-29",IF(D642&lt;40,"30-39",IF(D642&lt;50,"40-49",IF(D642&lt;60,"50-59","+60"))))</f>
        <v>40-49</v>
      </c>
    </row>
    <row r="643" spans="1:14" x14ac:dyDescent="0.25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  <c r="M643">
        <f t="shared" ca="1" si="20"/>
        <v>4</v>
      </c>
      <c r="N643" t="str">
        <f t="shared" si="21"/>
        <v>40-49</v>
      </c>
    </row>
    <row r="644" spans="1:14" x14ac:dyDescent="0.25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  <c r="M644">
        <f t="shared" ca="1" si="20"/>
        <v>4</v>
      </c>
      <c r="N644" t="str">
        <f t="shared" si="21"/>
        <v>30-39</v>
      </c>
    </row>
    <row r="645" spans="1:14" x14ac:dyDescent="0.25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  <c r="M645">
        <f t="shared" ca="1" si="20"/>
        <v>2</v>
      </c>
      <c r="N645" t="str">
        <f t="shared" si="21"/>
        <v>40-49</v>
      </c>
    </row>
    <row r="646" spans="1:14" x14ac:dyDescent="0.25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  <c r="M646">
        <f t="shared" ca="1" si="20"/>
        <v>5</v>
      </c>
      <c r="N646" t="str">
        <f t="shared" si="21"/>
        <v>40-49</v>
      </c>
    </row>
    <row r="647" spans="1:14" x14ac:dyDescent="0.25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  <c r="M647">
        <f t="shared" ca="1" si="20"/>
        <v>6</v>
      </c>
      <c r="N647" t="str">
        <f t="shared" si="21"/>
        <v>40-49</v>
      </c>
    </row>
    <row r="648" spans="1:14" x14ac:dyDescent="0.25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  <c r="M648">
        <f t="shared" ca="1" si="20"/>
        <v>2</v>
      </c>
      <c r="N648" t="str">
        <f t="shared" si="21"/>
        <v>30-39</v>
      </c>
    </row>
    <row r="649" spans="1:14" x14ac:dyDescent="0.25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  <c r="M649">
        <f t="shared" ca="1" si="20"/>
        <v>4</v>
      </c>
      <c r="N649" t="str">
        <f t="shared" si="21"/>
        <v>40-49</v>
      </c>
    </row>
    <row r="650" spans="1:14" x14ac:dyDescent="0.25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  <c r="M650">
        <f t="shared" ca="1" si="20"/>
        <v>3</v>
      </c>
      <c r="N650" t="str">
        <f t="shared" si="21"/>
        <v>30-39</v>
      </c>
    </row>
    <row r="651" spans="1:14" x14ac:dyDescent="0.25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  <c r="M651">
        <f t="shared" ca="1" si="20"/>
        <v>1</v>
      </c>
      <c r="N651" t="str">
        <f t="shared" si="21"/>
        <v>40-49</v>
      </c>
    </row>
    <row r="652" spans="1:14" x14ac:dyDescent="0.25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  <c r="M652">
        <f t="shared" ca="1" si="20"/>
        <v>3</v>
      </c>
      <c r="N652" t="str">
        <f t="shared" si="21"/>
        <v>40-49</v>
      </c>
    </row>
    <row r="653" spans="1:14" x14ac:dyDescent="0.25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  <c r="M653">
        <f t="shared" ca="1" si="20"/>
        <v>2</v>
      </c>
      <c r="N653" t="str">
        <f t="shared" si="21"/>
        <v>50-59</v>
      </c>
    </row>
    <row r="654" spans="1:14" x14ac:dyDescent="0.25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  <c r="M654">
        <f t="shared" ca="1" si="20"/>
        <v>2</v>
      </c>
      <c r="N654" t="str">
        <f t="shared" si="21"/>
        <v>40-49</v>
      </c>
    </row>
    <row r="655" spans="1:14" x14ac:dyDescent="0.25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  <c r="M655">
        <f t="shared" ca="1" si="20"/>
        <v>2</v>
      </c>
      <c r="N655" t="str">
        <f t="shared" si="21"/>
        <v>30-39</v>
      </c>
    </row>
    <row r="656" spans="1:14" x14ac:dyDescent="0.25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  <c r="M656">
        <f t="shared" ca="1" si="20"/>
        <v>6</v>
      </c>
      <c r="N656" t="str">
        <f t="shared" si="21"/>
        <v>40-49</v>
      </c>
    </row>
    <row r="657" spans="1:14" x14ac:dyDescent="0.25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  <c r="M657">
        <f t="shared" ca="1" si="20"/>
        <v>2</v>
      </c>
      <c r="N657" t="str">
        <f t="shared" si="21"/>
        <v>30-39</v>
      </c>
    </row>
    <row r="658" spans="1:14" x14ac:dyDescent="0.25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  <c r="M658">
        <f t="shared" ca="1" si="20"/>
        <v>1</v>
      </c>
      <c r="N658" t="str">
        <f t="shared" si="21"/>
        <v>30-39</v>
      </c>
    </row>
    <row r="659" spans="1:14" x14ac:dyDescent="0.25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  <c r="M659">
        <f t="shared" ca="1" si="20"/>
        <v>5</v>
      </c>
      <c r="N659" t="str">
        <f t="shared" si="21"/>
        <v>40-49</v>
      </c>
    </row>
    <row r="660" spans="1:14" x14ac:dyDescent="0.25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  <c r="M660">
        <f t="shared" ca="1" si="20"/>
        <v>2</v>
      </c>
      <c r="N660" t="str">
        <f t="shared" si="21"/>
        <v>50-59</v>
      </c>
    </row>
    <row r="661" spans="1:14" x14ac:dyDescent="0.25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  <c r="M661">
        <f t="shared" ca="1" si="20"/>
        <v>1</v>
      </c>
      <c r="N661" t="str">
        <f t="shared" si="21"/>
        <v>50-59</v>
      </c>
    </row>
    <row r="662" spans="1:14" x14ac:dyDescent="0.25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  <c r="M662">
        <f t="shared" ca="1" si="20"/>
        <v>6</v>
      </c>
      <c r="N662" t="str">
        <f t="shared" si="21"/>
        <v>50-59</v>
      </c>
    </row>
    <row r="663" spans="1:14" x14ac:dyDescent="0.25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  <c r="M663">
        <f t="shared" ca="1" si="20"/>
        <v>3</v>
      </c>
      <c r="N663" t="str">
        <f t="shared" si="21"/>
        <v>40-49</v>
      </c>
    </row>
    <row r="664" spans="1:14" x14ac:dyDescent="0.25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  <c r="M664">
        <f t="shared" ca="1" si="20"/>
        <v>1</v>
      </c>
      <c r="N664" t="str">
        <f t="shared" si="21"/>
        <v>30-39</v>
      </c>
    </row>
    <row r="665" spans="1:14" x14ac:dyDescent="0.25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  <c r="M665">
        <f t="shared" ca="1" si="20"/>
        <v>4</v>
      </c>
      <c r="N665" t="str">
        <f t="shared" si="21"/>
        <v>40-49</v>
      </c>
    </row>
    <row r="666" spans="1:14" x14ac:dyDescent="0.25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  <c r="M666">
        <f t="shared" ca="1" si="20"/>
        <v>5</v>
      </c>
      <c r="N666" t="str">
        <f t="shared" si="21"/>
        <v>50-59</v>
      </c>
    </row>
    <row r="667" spans="1:14" x14ac:dyDescent="0.25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  <c r="M667">
        <f t="shared" ca="1" si="20"/>
        <v>3</v>
      </c>
      <c r="N667" t="str">
        <f t="shared" si="21"/>
        <v>50-59</v>
      </c>
    </row>
    <row r="668" spans="1:14" x14ac:dyDescent="0.25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  <c r="M668">
        <f t="shared" ca="1" si="20"/>
        <v>3</v>
      </c>
      <c r="N668" t="str">
        <f t="shared" si="21"/>
        <v>30-39</v>
      </c>
    </row>
    <row r="669" spans="1:14" x14ac:dyDescent="0.25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  <c r="M669">
        <f t="shared" ca="1" si="20"/>
        <v>1</v>
      </c>
      <c r="N669" t="str">
        <f t="shared" si="21"/>
        <v>40-49</v>
      </c>
    </row>
    <row r="670" spans="1:14" x14ac:dyDescent="0.25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  <c r="M670">
        <f t="shared" ca="1" si="20"/>
        <v>2</v>
      </c>
      <c r="N670" t="str">
        <f t="shared" si="21"/>
        <v>30-39</v>
      </c>
    </row>
    <row r="671" spans="1:14" x14ac:dyDescent="0.25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  <c r="M671">
        <f t="shared" ca="1" si="20"/>
        <v>2</v>
      </c>
      <c r="N671" t="str">
        <f t="shared" si="21"/>
        <v>30-39</v>
      </c>
    </row>
    <row r="672" spans="1:14" x14ac:dyDescent="0.25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  <c r="M672">
        <f t="shared" ca="1" si="20"/>
        <v>2</v>
      </c>
      <c r="N672" t="str">
        <f t="shared" si="21"/>
        <v>40-49</v>
      </c>
    </row>
    <row r="673" spans="1:14" x14ac:dyDescent="0.25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  <c r="M673">
        <f t="shared" ca="1" si="20"/>
        <v>3</v>
      </c>
      <c r="N673" t="str">
        <f t="shared" si="21"/>
        <v>50-59</v>
      </c>
    </row>
    <row r="674" spans="1:14" x14ac:dyDescent="0.25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  <c r="M674">
        <f t="shared" ca="1" si="20"/>
        <v>5</v>
      </c>
      <c r="N674" t="str">
        <f t="shared" si="21"/>
        <v>30-39</v>
      </c>
    </row>
    <row r="675" spans="1:14" x14ac:dyDescent="0.25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  <c r="M675">
        <f t="shared" ca="1" si="20"/>
        <v>4</v>
      </c>
      <c r="N675" t="str">
        <f t="shared" si="21"/>
        <v>40-49</v>
      </c>
    </row>
    <row r="676" spans="1:14" x14ac:dyDescent="0.25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  <c r="M676">
        <f t="shared" ca="1" si="20"/>
        <v>2</v>
      </c>
      <c r="N676" t="str">
        <f t="shared" si="21"/>
        <v>50-59</v>
      </c>
    </row>
    <row r="677" spans="1:14" x14ac:dyDescent="0.25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  <c r="M677">
        <f t="shared" ca="1" si="20"/>
        <v>2</v>
      </c>
      <c r="N677" t="str">
        <f t="shared" si="21"/>
        <v>40-49</v>
      </c>
    </row>
    <row r="678" spans="1:14" x14ac:dyDescent="0.25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  <c r="M678">
        <f t="shared" ca="1" si="20"/>
        <v>5</v>
      </c>
      <c r="N678" t="str">
        <f t="shared" si="21"/>
        <v>40-49</v>
      </c>
    </row>
    <row r="679" spans="1:14" x14ac:dyDescent="0.25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  <c r="M679">
        <f t="shared" ca="1" si="20"/>
        <v>6</v>
      </c>
      <c r="N679" t="str">
        <f t="shared" si="21"/>
        <v>30-39</v>
      </c>
    </row>
    <row r="680" spans="1:14" x14ac:dyDescent="0.25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  <c r="M680">
        <f t="shared" ca="1" si="20"/>
        <v>2</v>
      </c>
      <c r="N680" t="str">
        <f t="shared" si="21"/>
        <v>40-49</v>
      </c>
    </row>
    <row r="681" spans="1:14" x14ac:dyDescent="0.25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  <c r="M681">
        <f t="shared" ca="1" si="20"/>
        <v>4</v>
      </c>
      <c r="N681" t="str">
        <f t="shared" si="21"/>
        <v>40-49</v>
      </c>
    </row>
    <row r="682" spans="1:14" x14ac:dyDescent="0.25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  <c r="M682">
        <f t="shared" ca="1" si="20"/>
        <v>1</v>
      </c>
      <c r="N682" t="str">
        <f t="shared" si="21"/>
        <v>20-29</v>
      </c>
    </row>
    <row r="683" spans="1:14" x14ac:dyDescent="0.25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  <c r="M683">
        <f t="shared" ca="1" si="20"/>
        <v>2</v>
      </c>
      <c r="N683" t="str">
        <f t="shared" si="21"/>
        <v>30-39</v>
      </c>
    </row>
    <row r="684" spans="1:14" x14ac:dyDescent="0.25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  <c r="M684">
        <f t="shared" ca="1" si="20"/>
        <v>1</v>
      </c>
      <c r="N684" t="str">
        <f t="shared" si="21"/>
        <v>20-29</v>
      </c>
    </row>
    <row r="685" spans="1:14" x14ac:dyDescent="0.25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  <c r="M685">
        <f t="shared" ca="1" si="20"/>
        <v>4</v>
      </c>
      <c r="N685" t="str">
        <f t="shared" si="21"/>
        <v>30-39</v>
      </c>
    </row>
    <row r="686" spans="1:14" x14ac:dyDescent="0.25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  <c r="M686">
        <f t="shared" ca="1" si="20"/>
        <v>2</v>
      </c>
      <c r="N686" t="str">
        <f t="shared" si="21"/>
        <v>50-59</v>
      </c>
    </row>
    <row r="687" spans="1:14" x14ac:dyDescent="0.25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  <c r="M687">
        <f t="shared" ca="1" si="20"/>
        <v>2</v>
      </c>
      <c r="N687" t="str">
        <f t="shared" si="21"/>
        <v>40-49</v>
      </c>
    </row>
    <row r="688" spans="1:14" x14ac:dyDescent="0.25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  <c r="M688">
        <f t="shared" ca="1" si="20"/>
        <v>6</v>
      </c>
      <c r="N688" t="str">
        <f t="shared" si="21"/>
        <v>50-59</v>
      </c>
    </row>
    <row r="689" spans="1:14" x14ac:dyDescent="0.25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  <c r="M689">
        <f t="shared" ca="1" si="20"/>
        <v>2</v>
      </c>
      <c r="N689" t="str">
        <f t="shared" si="21"/>
        <v>40-49</v>
      </c>
    </row>
    <row r="690" spans="1:14" x14ac:dyDescent="0.25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  <c r="M690">
        <f t="shared" ca="1" si="20"/>
        <v>1</v>
      </c>
      <c r="N690" t="str">
        <f t="shared" si="21"/>
        <v>30-39</v>
      </c>
    </row>
    <row r="691" spans="1:14" x14ac:dyDescent="0.25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  <c r="M691">
        <f t="shared" ca="1" si="20"/>
        <v>5</v>
      </c>
      <c r="N691" t="str">
        <f t="shared" si="21"/>
        <v>40-49</v>
      </c>
    </row>
    <row r="692" spans="1:14" x14ac:dyDescent="0.25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  <c r="M692">
        <f t="shared" ca="1" si="20"/>
        <v>2</v>
      </c>
      <c r="N692" t="str">
        <f t="shared" si="21"/>
        <v>30-39</v>
      </c>
    </row>
    <row r="693" spans="1:14" x14ac:dyDescent="0.25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  <c r="M693">
        <f t="shared" ca="1" si="20"/>
        <v>1</v>
      </c>
      <c r="N693" t="str">
        <f t="shared" si="21"/>
        <v>50-59</v>
      </c>
    </row>
    <row r="694" spans="1:14" x14ac:dyDescent="0.25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  <c r="M694">
        <f t="shared" ca="1" si="20"/>
        <v>3</v>
      </c>
      <c r="N694" t="str">
        <f t="shared" si="21"/>
        <v>50-59</v>
      </c>
    </row>
    <row r="695" spans="1:14" x14ac:dyDescent="0.25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  <c r="M695">
        <f t="shared" ca="1" si="20"/>
        <v>1</v>
      </c>
      <c r="N695" t="str">
        <f t="shared" si="21"/>
        <v>50-59</v>
      </c>
    </row>
    <row r="696" spans="1:14" x14ac:dyDescent="0.25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  <c r="M696">
        <f t="shared" ca="1" si="20"/>
        <v>2</v>
      </c>
      <c r="N696" t="str">
        <f t="shared" si="21"/>
        <v>40-49</v>
      </c>
    </row>
    <row r="697" spans="1:14" x14ac:dyDescent="0.25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  <c r="M697">
        <f t="shared" ca="1" si="20"/>
        <v>2</v>
      </c>
      <c r="N697" t="str">
        <f t="shared" si="21"/>
        <v>30-39</v>
      </c>
    </row>
    <row r="698" spans="1:14" x14ac:dyDescent="0.25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  <c r="M698">
        <f t="shared" ca="1" si="20"/>
        <v>6</v>
      </c>
      <c r="N698" t="str">
        <f t="shared" si="21"/>
        <v>40-49</v>
      </c>
    </row>
    <row r="699" spans="1:14" x14ac:dyDescent="0.25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  <c r="M699">
        <f t="shared" ca="1" si="20"/>
        <v>2</v>
      </c>
      <c r="N699" t="str">
        <f t="shared" si="21"/>
        <v>40-49</v>
      </c>
    </row>
    <row r="700" spans="1:14" x14ac:dyDescent="0.25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  <c r="M700">
        <f t="shared" ca="1" si="20"/>
        <v>1</v>
      </c>
      <c r="N700" t="str">
        <f t="shared" si="21"/>
        <v>50-59</v>
      </c>
    </row>
    <row r="701" spans="1:14" x14ac:dyDescent="0.25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  <c r="M701">
        <f t="shared" ca="1" si="20"/>
        <v>5</v>
      </c>
      <c r="N701" t="str">
        <f t="shared" si="21"/>
        <v>30-39</v>
      </c>
    </row>
    <row r="702" spans="1:14" x14ac:dyDescent="0.25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  <c r="M702">
        <f t="shared" ca="1" si="20"/>
        <v>2</v>
      </c>
      <c r="N702" t="str">
        <f t="shared" si="21"/>
        <v>50-59</v>
      </c>
    </row>
    <row r="703" spans="1:14" x14ac:dyDescent="0.25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  <c r="M703">
        <f t="shared" ca="1" si="20"/>
        <v>1</v>
      </c>
      <c r="N703" t="str">
        <f t="shared" si="21"/>
        <v>30-39</v>
      </c>
    </row>
    <row r="704" spans="1:14" x14ac:dyDescent="0.25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  <c r="M704">
        <f t="shared" ca="1" si="20"/>
        <v>6</v>
      </c>
      <c r="N704" t="str">
        <f t="shared" si="21"/>
        <v>30-39</v>
      </c>
    </row>
    <row r="705" spans="1:14" x14ac:dyDescent="0.25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  <c r="M705">
        <f t="shared" ca="1" si="20"/>
        <v>3</v>
      </c>
      <c r="N705" t="str">
        <f t="shared" si="21"/>
        <v>40-49</v>
      </c>
    </row>
    <row r="706" spans="1:14" x14ac:dyDescent="0.25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  <c r="M706">
        <f t="shared" ref="M706:M769" ca="1" si="22">IF(I706="",DATEDIF(H706,TODAY(),"Y"),DATEDIF(H706,I706,"Y"))</f>
        <v>1</v>
      </c>
      <c r="N706" t="str">
        <f t="shared" ref="N706:N769" si="23">IF(D706&lt;30,"20-29",IF(D706&lt;40,"30-39",IF(D706&lt;50,"40-49",IF(D706&lt;60,"50-59","+60"))))</f>
        <v>50-59</v>
      </c>
    </row>
    <row r="707" spans="1:14" x14ac:dyDescent="0.25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  <c r="M707">
        <f t="shared" ca="1" si="22"/>
        <v>4</v>
      </c>
      <c r="N707" t="str">
        <f t="shared" si="23"/>
        <v>30-39</v>
      </c>
    </row>
    <row r="708" spans="1:14" x14ac:dyDescent="0.25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  <c r="M708">
        <f t="shared" ca="1" si="22"/>
        <v>5</v>
      </c>
      <c r="N708" t="str">
        <f t="shared" si="23"/>
        <v>40-49</v>
      </c>
    </row>
    <row r="709" spans="1:14" x14ac:dyDescent="0.25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  <c r="M709">
        <f t="shared" ca="1" si="22"/>
        <v>3</v>
      </c>
      <c r="N709" t="str">
        <f t="shared" si="23"/>
        <v>40-49</v>
      </c>
    </row>
    <row r="710" spans="1:14" x14ac:dyDescent="0.25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  <c r="M710">
        <f t="shared" ca="1" si="22"/>
        <v>3</v>
      </c>
      <c r="N710" t="str">
        <f t="shared" si="23"/>
        <v>40-49</v>
      </c>
    </row>
    <row r="711" spans="1:14" x14ac:dyDescent="0.25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  <c r="M711">
        <f t="shared" ca="1" si="22"/>
        <v>1</v>
      </c>
      <c r="N711" t="str">
        <f t="shared" si="23"/>
        <v>40-49</v>
      </c>
    </row>
    <row r="712" spans="1:14" x14ac:dyDescent="0.25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  <c r="M712">
        <f t="shared" ca="1" si="22"/>
        <v>0</v>
      </c>
      <c r="N712" t="str">
        <f t="shared" si="23"/>
        <v>30-39</v>
      </c>
    </row>
    <row r="713" spans="1:14" x14ac:dyDescent="0.25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  <c r="M713">
        <f t="shared" ca="1" si="22"/>
        <v>2</v>
      </c>
      <c r="N713" t="str">
        <f t="shared" si="23"/>
        <v>40-49</v>
      </c>
    </row>
    <row r="714" spans="1:14" x14ac:dyDescent="0.25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  <c r="M714">
        <f t="shared" ca="1" si="22"/>
        <v>3</v>
      </c>
      <c r="N714" t="str">
        <f t="shared" si="23"/>
        <v>40-49</v>
      </c>
    </row>
    <row r="715" spans="1:14" x14ac:dyDescent="0.25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  <c r="M715">
        <f t="shared" ca="1" si="22"/>
        <v>2</v>
      </c>
      <c r="N715" t="str">
        <f t="shared" si="23"/>
        <v>20-29</v>
      </c>
    </row>
    <row r="716" spans="1:14" x14ac:dyDescent="0.25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  <c r="M716">
        <f t="shared" ca="1" si="22"/>
        <v>5</v>
      </c>
      <c r="N716" t="str">
        <f t="shared" si="23"/>
        <v>30-39</v>
      </c>
    </row>
    <row r="717" spans="1:14" x14ac:dyDescent="0.25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  <c r="M717">
        <f t="shared" ca="1" si="22"/>
        <v>4</v>
      </c>
      <c r="N717" t="str">
        <f t="shared" si="23"/>
        <v>50-59</v>
      </c>
    </row>
    <row r="718" spans="1:14" x14ac:dyDescent="0.25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  <c r="M718">
        <f t="shared" ca="1" si="22"/>
        <v>2</v>
      </c>
      <c r="N718" t="str">
        <f t="shared" si="23"/>
        <v>30-39</v>
      </c>
    </row>
    <row r="719" spans="1:14" x14ac:dyDescent="0.25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  <c r="M719">
        <f t="shared" ca="1" si="22"/>
        <v>2</v>
      </c>
      <c r="N719" t="str">
        <f t="shared" si="23"/>
        <v>50-59</v>
      </c>
    </row>
    <row r="720" spans="1:14" x14ac:dyDescent="0.25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  <c r="M720">
        <f t="shared" ca="1" si="22"/>
        <v>5</v>
      </c>
      <c r="N720" t="str">
        <f t="shared" si="23"/>
        <v>50-59</v>
      </c>
    </row>
    <row r="721" spans="1:14" x14ac:dyDescent="0.25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  <c r="M721">
        <f t="shared" ca="1" si="22"/>
        <v>6</v>
      </c>
      <c r="N721" t="str">
        <f t="shared" si="23"/>
        <v>50-59</v>
      </c>
    </row>
    <row r="722" spans="1:14" x14ac:dyDescent="0.25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  <c r="M722">
        <f t="shared" ca="1" si="22"/>
        <v>2</v>
      </c>
      <c r="N722" t="str">
        <f t="shared" si="23"/>
        <v>50-59</v>
      </c>
    </row>
    <row r="723" spans="1:14" x14ac:dyDescent="0.25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  <c r="M723">
        <f t="shared" ca="1" si="22"/>
        <v>4</v>
      </c>
      <c r="N723" t="str">
        <f t="shared" si="23"/>
        <v>30-39</v>
      </c>
    </row>
    <row r="724" spans="1:14" x14ac:dyDescent="0.25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  <c r="M724">
        <f t="shared" ca="1" si="22"/>
        <v>3</v>
      </c>
      <c r="N724" t="str">
        <f t="shared" si="23"/>
        <v>40-49</v>
      </c>
    </row>
    <row r="725" spans="1:14" x14ac:dyDescent="0.25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  <c r="M725">
        <f t="shared" ca="1" si="22"/>
        <v>1</v>
      </c>
      <c r="N725" t="str">
        <f t="shared" si="23"/>
        <v>30-39</v>
      </c>
    </row>
    <row r="726" spans="1:14" x14ac:dyDescent="0.25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  <c r="M726">
        <f t="shared" ca="1" si="22"/>
        <v>3</v>
      </c>
      <c r="N726" t="str">
        <f t="shared" si="23"/>
        <v>30-39</v>
      </c>
    </row>
    <row r="727" spans="1:14" x14ac:dyDescent="0.25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  <c r="M727">
        <f t="shared" ca="1" si="22"/>
        <v>2</v>
      </c>
      <c r="N727" t="str">
        <f t="shared" si="23"/>
        <v>40-49</v>
      </c>
    </row>
    <row r="728" spans="1:14" x14ac:dyDescent="0.25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  <c r="M728">
        <f t="shared" ca="1" si="22"/>
        <v>0</v>
      </c>
      <c r="N728" t="str">
        <f t="shared" si="23"/>
        <v>50-59</v>
      </c>
    </row>
    <row r="729" spans="1:14" x14ac:dyDescent="0.25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  <c r="M729">
        <f t="shared" ca="1" si="22"/>
        <v>0</v>
      </c>
      <c r="N729" t="str">
        <f t="shared" si="23"/>
        <v>50-59</v>
      </c>
    </row>
    <row r="730" spans="1:14" x14ac:dyDescent="0.25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  <c r="M730">
        <f t="shared" ca="1" si="22"/>
        <v>3</v>
      </c>
      <c r="N730" t="str">
        <f t="shared" si="23"/>
        <v>50-59</v>
      </c>
    </row>
    <row r="731" spans="1:14" x14ac:dyDescent="0.25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  <c r="M731">
        <f t="shared" ca="1" si="22"/>
        <v>2</v>
      </c>
      <c r="N731" t="str">
        <f t="shared" si="23"/>
        <v>40-49</v>
      </c>
    </row>
    <row r="732" spans="1:14" x14ac:dyDescent="0.25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  <c r="M732">
        <f t="shared" ca="1" si="22"/>
        <v>1</v>
      </c>
      <c r="N732" t="str">
        <f t="shared" si="23"/>
        <v>30-39</v>
      </c>
    </row>
    <row r="733" spans="1:14" x14ac:dyDescent="0.25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  <c r="M733">
        <f t="shared" ca="1" si="22"/>
        <v>5</v>
      </c>
      <c r="N733" t="str">
        <f t="shared" si="23"/>
        <v>40-49</v>
      </c>
    </row>
    <row r="734" spans="1:14" x14ac:dyDescent="0.25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  <c r="M734">
        <f t="shared" ca="1" si="22"/>
        <v>2</v>
      </c>
      <c r="N734" t="str">
        <f t="shared" si="23"/>
        <v>40-49</v>
      </c>
    </row>
    <row r="735" spans="1:14" x14ac:dyDescent="0.25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  <c r="M735">
        <f t="shared" ca="1" si="22"/>
        <v>1</v>
      </c>
      <c r="N735" t="str">
        <f t="shared" si="23"/>
        <v>40-49</v>
      </c>
    </row>
    <row r="736" spans="1:14" x14ac:dyDescent="0.25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  <c r="M736">
        <f t="shared" ca="1" si="22"/>
        <v>6</v>
      </c>
      <c r="N736" t="str">
        <f t="shared" si="23"/>
        <v>30-39</v>
      </c>
    </row>
    <row r="737" spans="1:14" x14ac:dyDescent="0.25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  <c r="M737">
        <f t="shared" ca="1" si="22"/>
        <v>0</v>
      </c>
      <c r="N737" t="str">
        <f t="shared" si="23"/>
        <v>40-49</v>
      </c>
    </row>
    <row r="738" spans="1:14" x14ac:dyDescent="0.25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  <c r="M738">
        <f t="shared" ca="1" si="22"/>
        <v>0</v>
      </c>
      <c r="N738" t="str">
        <f t="shared" si="23"/>
        <v>30-39</v>
      </c>
    </row>
    <row r="739" spans="1:14" x14ac:dyDescent="0.25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  <c r="M739">
        <f t="shared" ca="1" si="22"/>
        <v>4</v>
      </c>
      <c r="N739" t="str">
        <f t="shared" si="23"/>
        <v>30-39</v>
      </c>
    </row>
    <row r="740" spans="1:14" x14ac:dyDescent="0.25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  <c r="M740">
        <f t="shared" ca="1" si="22"/>
        <v>5</v>
      </c>
      <c r="N740" t="str">
        <f t="shared" si="23"/>
        <v>40-49</v>
      </c>
    </row>
    <row r="741" spans="1:14" x14ac:dyDescent="0.25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  <c r="M741">
        <f t="shared" ca="1" si="22"/>
        <v>3</v>
      </c>
      <c r="N741" t="str">
        <f t="shared" si="23"/>
        <v>50-59</v>
      </c>
    </row>
    <row r="742" spans="1:14" x14ac:dyDescent="0.25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  <c r="M742">
        <f t="shared" ca="1" si="22"/>
        <v>1</v>
      </c>
      <c r="N742" t="str">
        <f t="shared" si="23"/>
        <v>30-39</v>
      </c>
    </row>
    <row r="743" spans="1:14" x14ac:dyDescent="0.25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  <c r="M743">
        <f t="shared" ca="1" si="22"/>
        <v>1</v>
      </c>
      <c r="N743" t="str">
        <f t="shared" si="23"/>
        <v>40-49</v>
      </c>
    </row>
    <row r="744" spans="1:14" x14ac:dyDescent="0.25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  <c r="M744">
        <f t="shared" ca="1" si="22"/>
        <v>0</v>
      </c>
      <c r="N744" t="str">
        <f t="shared" si="23"/>
        <v>20-29</v>
      </c>
    </row>
    <row r="745" spans="1:14" x14ac:dyDescent="0.25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  <c r="M745">
        <f t="shared" ca="1" si="22"/>
        <v>2</v>
      </c>
      <c r="N745" t="str">
        <f t="shared" si="23"/>
        <v>40-49</v>
      </c>
    </row>
    <row r="746" spans="1:14" x14ac:dyDescent="0.25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  <c r="M746">
        <f t="shared" ca="1" si="22"/>
        <v>3</v>
      </c>
      <c r="N746" t="str">
        <f t="shared" si="23"/>
        <v>40-49</v>
      </c>
    </row>
    <row r="747" spans="1:14" x14ac:dyDescent="0.25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  <c r="M747">
        <f t="shared" ca="1" si="22"/>
        <v>2</v>
      </c>
      <c r="N747" t="str">
        <f t="shared" si="23"/>
        <v>30-39</v>
      </c>
    </row>
    <row r="748" spans="1:14" x14ac:dyDescent="0.25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  <c r="M748">
        <f t="shared" ca="1" si="22"/>
        <v>2</v>
      </c>
      <c r="N748" t="str">
        <f t="shared" si="23"/>
        <v>40-49</v>
      </c>
    </row>
    <row r="749" spans="1:14" x14ac:dyDescent="0.25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  <c r="M749">
        <f t="shared" ca="1" si="22"/>
        <v>4</v>
      </c>
      <c r="N749" t="str">
        <f t="shared" si="23"/>
        <v>40-49</v>
      </c>
    </row>
    <row r="750" spans="1:14" x14ac:dyDescent="0.25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  <c r="M750">
        <f t="shared" ca="1" si="22"/>
        <v>4</v>
      </c>
      <c r="N750" t="str">
        <f t="shared" si="23"/>
        <v>20-29</v>
      </c>
    </row>
    <row r="751" spans="1:14" x14ac:dyDescent="0.25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  <c r="M751">
        <f t="shared" ca="1" si="22"/>
        <v>2</v>
      </c>
      <c r="N751" t="str">
        <f t="shared" si="23"/>
        <v>30-39</v>
      </c>
    </row>
    <row r="752" spans="1:14" x14ac:dyDescent="0.25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  <c r="M752">
        <f t="shared" ca="1" si="22"/>
        <v>5</v>
      </c>
      <c r="N752" t="str">
        <f t="shared" si="23"/>
        <v>50-59</v>
      </c>
    </row>
    <row r="753" spans="1:14" x14ac:dyDescent="0.25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  <c r="M753">
        <f t="shared" ca="1" si="22"/>
        <v>6</v>
      </c>
      <c r="N753" t="str">
        <f t="shared" si="23"/>
        <v>30-39</v>
      </c>
    </row>
    <row r="754" spans="1:14" x14ac:dyDescent="0.25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  <c r="M754">
        <f t="shared" ca="1" si="22"/>
        <v>2</v>
      </c>
      <c r="N754" t="str">
        <f t="shared" si="23"/>
        <v>40-49</v>
      </c>
    </row>
    <row r="755" spans="1:14" x14ac:dyDescent="0.25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  <c r="M755">
        <f t="shared" ca="1" si="22"/>
        <v>4</v>
      </c>
      <c r="N755" t="str">
        <f t="shared" si="23"/>
        <v>40-49</v>
      </c>
    </row>
    <row r="756" spans="1:14" x14ac:dyDescent="0.25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  <c r="M756">
        <f t="shared" ca="1" si="22"/>
        <v>1</v>
      </c>
      <c r="N756" t="str">
        <f t="shared" si="23"/>
        <v>20-29</v>
      </c>
    </row>
    <row r="757" spans="1:14" x14ac:dyDescent="0.25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  <c r="M757">
        <f t="shared" ca="1" si="22"/>
        <v>3</v>
      </c>
      <c r="N757" t="str">
        <f t="shared" si="23"/>
        <v>30-39</v>
      </c>
    </row>
    <row r="758" spans="1:14" x14ac:dyDescent="0.25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  <c r="M758">
        <f t="shared" ca="1" si="22"/>
        <v>1</v>
      </c>
      <c r="N758" t="str">
        <f t="shared" si="23"/>
        <v>30-39</v>
      </c>
    </row>
    <row r="759" spans="1:14" x14ac:dyDescent="0.25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  <c r="M759">
        <f t="shared" ca="1" si="22"/>
        <v>1</v>
      </c>
      <c r="N759" t="str">
        <f t="shared" si="23"/>
        <v>40-49</v>
      </c>
    </row>
    <row r="760" spans="1:14" x14ac:dyDescent="0.25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  <c r="M760">
        <f t="shared" ca="1" si="22"/>
        <v>0</v>
      </c>
      <c r="N760" t="str">
        <f t="shared" si="23"/>
        <v>30-39</v>
      </c>
    </row>
    <row r="761" spans="1:14" x14ac:dyDescent="0.25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  <c r="M761">
        <f t="shared" ca="1" si="22"/>
        <v>0</v>
      </c>
      <c r="N761" t="str">
        <f t="shared" si="23"/>
        <v>50-59</v>
      </c>
    </row>
    <row r="762" spans="1:14" x14ac:dyDescent="0.25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  <c r="M762">
        <f t="shared" ca="1" si="22"/>
        <v>4</v>
      </c>
      <c r="N762" t="str">
        <f t="shared" si="23"/>
        <v>50-59</v>
      </c>
    </row>
    <row r="763" spans="1:14" x14ac:dyDescent="0.25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  <c r="M763">
        <f t="shared" ca="1" si="22"/>
        <v>0</v>
      </c>
      <c r="N763" t="str">
        <f t="shared" si="23"/>
        <v>50-59</v>
      </c>
    </row>
    <row r="764" spans="1:14" x14ac:dyDescent="0.25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  <c r="M764">
        <f t="shared" ca="1" si="22"/>
        <v>3</v>
      </c>
      <c r="N764" t="str">
        <f t="shared" si="23"/>
        <v>40-49</v>
      </c>
    </row>
    <row r="765" spans="1:14" x14ac:dyDescent="0.25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  <c r="M765">
        <f t="shared" ca="1" si="22"/>
        <v>3</v>
      </c>
      <c r="N765" t="str">
        <f t="shared" si="23"/>
        <v>30-39</v>
      </c>
    </row>
    <row r="766" spans="1:14" x14ac:dyDescent="0.25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  <c r="M766">
        <f t="shared" ca="1" si="22"/>
        <v>2</v>
      </c>
      <c r="N766" t="str">
        <f t="shared" si="23"/>
        <v>40-49</v>
      </c>
    </row>
    <row r="767" spans="1:14" x14ac:dyDescent="0.25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  <c r="M767">
        <f t="shared" ca="1" si="22"/>
        <v>1</v>
      </c>
      <c r="N767" t="str">
        <f t="shared" si="23"/>
        <v>40-49</v>
      </c>
    </row>
    <row r="768" spans="1:14" x14ac:dyDescent="0.25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  <c r="M768">
        <f t="shared" ca="1" si="22"/>
        <v>6</v>
      </c>
      <c r="N768" t="str">
        <f t="shared" si="23"/>
        <v>40-49</v>
      </c>
    </row>
    <row r="769" spans="1:14" x14ac:dyDescent="0.25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  <c r="M769">
        <f t="shared" ca="1" si="22"/>
        <v>3</v>
      </c>
      <c r="N769" t="str">
        <f t="shared" si="23"/>
        <v>30-39</v>
      </c>
    </row>
    <row r="770" spans="1:14" x14ac:dyDescent="0.25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  <c r="M770">
        <f t="shared" ref="M770:M793" ca="1" si="24">IF(I770="",DATEDIF(H770,TODAY(),"Y"),DATEDIF(H770,I770,"Y"))</f>
        <v>1</v>
      </c>
      <c r="N770" t="str">
        <f t="shared" ref="N770:N793" si="25">IF(D770&lt;30,"20-29",IF(D770&lt;40,"30-39",IF(D770&lt;50,"40-49",IF(D770&lt;60,"50-59","+60"))))</f>
        <v>40-49</v>
      </c>
    </row>
    <row r="771" spans="1:14" x14ac:dyDescent="0.25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  <c r="M771">
        <f t="shared" ca="1" si="24"/>
        <v>4</v>
      </c>
      <c r="N771" t="str">
        <f t="shared" si="25"/>
        <v>30-39</v>
      </c>
    </row>
    <row r="772" spans="1:14" x14ac:dyDescent="0.25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  <c r="M772">
        <f t="shared" ca="1" si="24"/>
        <v>5</v>
      </c>
      <c r="N772" t="str">
        <f t="shared" si="25"/>
        <v>30-39</v>
      </c>
    </row>
    <row r="773" spans="1:14" x14ac:dyDescent="0.25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  <c r="M773">
        <f t="shared" ca="1" si="24"/>
        <v>3</v>
      </c>
      <c r="N773" t="str">
        <f t="shared" si="25"/>
        <v>40-49</v>
      </c>
    </row>
    <row r="774" spans="1:14" x14ac:dyDescent="0.25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  <c r="M774">
        <f t="shared" ca="1" si="24"/>
        <v>3</v>
      </c>
      <c r="N774" t="str">
        <f t="shared" si="25"/>
        <v>50-59</v>
      </c>
    </row>
    <row r="775" spans="1:14" x14ac:dyDescent="0.25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  <c r="M775">
        <f t="shared" ca="1" si="24"/>
        <v>1</v>
      </c>
      <c r="N775" t="str">
        <f t="shared" si="25"/>
        <v>30-39</v>
      </c>
    </row>
    <row r="776" spans="1:14" x14ac:dyDescent="0.25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  <c r="M776">
        <f t="shared" ca="1" si="24"/>
        <v>2</v>
      </c>
      <c r="N776" t="str">
        <f t="shared" si="25"/>
        <v>40-49</v>
      </c>
    </row>
    <row r="777" spans="1:14" x14ac:dyDescent="0.25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  <c r="M777">
        <f t="shared" ca="1" si="24"/>
        <v>2</v>
      </c>
      <c r="N777" t="str">
        <f t="shared" si="25"/>
        <v>40-49</v>
      </c>
    </row>
    <row r="778" spans="1:14" x14ac:dyDescent="0.25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  <c r="M778">
        <f t="shared" ca="1" si="24"/>
        <v>2</v>
      </c>
      <c r="N778" t="str">
        <f t="shared" si="25"/>
        <v>40-49</v>
      </c>
    </row>
    <row r="779" spans="1:14" x14ac:dyDescent="0.25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  <c r="M779">
        <f t="shared" ca="1" si="24"/>
        <v>3</v>
      </c>
      <c r="N779" t="str">
        <f t="shared" si="25"/>
        <v>40-49</v>
      </c>
    </row>
    <row r="780" spans="1:14" x14ac:dyDescent="0.25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  <c r="M780">
        <f t="shared" ca="1" si="24"/>
        <v>5</v>
      </c>
      <c r="N780" t="str">
        <f t="shared" si="25"/>
        <v>30-39</v>
      </c>
    </row>
    <row r="781" spans="1:14" x14ac:dyDescent="0.25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  <c r="M781">
        <f t="shared" ca="1" si="24"/>
        <v>4</v>
      </c>
      <c r="N781" t="str">
        <f t="shared" si="25"/>
        <v>40-49</v>
      </c>
    </row>
    <row r="782" spans="1:14" x14ac:dyDescent="0.25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  <c r="M782">
        <f t="shared" ca="1" si="24"/>
        <v>2</v>
      </c>
      <c r="N782" t="str">
        <f t="shared" si="25"/>
        <v>40-49</v>
      </c>
    </row>
    <row r="783" spans="1:14" x14ac:dyDescent="0.25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  <c r="M783">
        <f t="shared" ca="1" si="24"/>
        <v>2</v>
      </c>
      <c r="N783" t="str">
        <f t="shared" si="25"/>
        <v>20-29</v>
      </c>
    </row>
    <row r="784" spans="1:14" x14ac:dyDescent="0.25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  <c r="M784">
        <f t="shared" ca="1" si="24"/>
        <v>5</v>
      </c>
      <c r="N784" t="str">
        <f t="shared" si="25"/>
        <v>30-39</v>
      </c>
    </row>
    <row r="785" spans="1:14" x14ac:dyDescent="0.25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  <c r="M785">
        <f t="shared" ca="1" si="24"/>
        <v>6</v>
      </c>
      <c r="N785" t="str">
        <f t="shared" si="25"/>
        <v>40-49</v>
      </c>
    </row>
    <row r="786" spans="1:14" x14ac:dyDescent="0.25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  <c r="M786">
        <f t="shared" ca="1" si="24"/>
        <v>2</v>
      </c>
      <c r="N786" t="str">
        <f t="shared" si="25"/>
        <v>30-39</v>
      </c>
    </row>
    <row r="787" spans="1:14" x14ac:dyDescent="0.25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  <c r="M787">
        <f t="shared" ca="1" si="24"/>
        <v>4</v>
      </c>
      <c r="N787" t="str">
        <f t="shared" si="25"/>
        <v>40-49</v>
      </c>
    </row>
    <row r="788" spans="1:14" x14ac:dyDescent="0.25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  <c r="M788">
        <f t="shared" ca="1" si="24"/>
        <v>3</v>
      </c>
      <c r="N788" t="str">
        <f t="shared" si="25"/>
        <v>40-49</v>
      </c>
    </row>
    <row r="789" spans="1:14" x14ac:dyDescent="0.25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  <c r="M789">
        <f t="shared" ca="1" si="24"/>
        <v>1</v>
      </c>
      <c r="N789" t="str">
        <f t="shared" si="25"/>
        <v>40-49</v>
      </c>
    </row>
    <row r="790" spans="1:14" x14ac:dyDescent="0.25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  <c r="M790">
        <f t="shared" ca="1" si="24"/>
        <v>3</v>
      </c>
      <c r="N790" t="str">
        <f t="shared" si="25"/>
        <v>40-49</v>
      </c>
    </row>
    <row r="791" spans="1:14" x14ac:dyDescent="0.25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  <c r="M791">
        <f t="shared" ca="1" si="24"/>
        <v>2</v>
      </c>
      <c r="N791" t="str">
        <f t="shared" si="25"/>
        <v>30-39</v>
      </c>
    </row>
    <row r="792" spans="1:14" x14ac:dyDescent="0.25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  <c r="M792">
        <f t="shared" ca="1" si="24"/>
        <v>2</v>
      </c>
      <c r="N792" t="str">
        <f t="shared" si="25"/>
        <v>40-49</v>
      </c>
    </row>
    <row r="793" spans="1:14" x14ac:dyDescent="0.25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  <c r="M793">
        <f t="shared" ca="1" si="24"/>
        <v>2</v>
      </c>
      <c r="N793" t="str">
        <f t="shared" si="25"/>
        <v>30-39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DCEC-B010-448A-A6F1-B7D03A4EC21B}">
  <dimension ref="A3:D32"/>
  <sheetViews>
    <sheetView workbookViewId="0">
      <selection activeCell="N23" sqref="N23"/>
    </sheetView>
  </sheetViews>
  <sheetFormatPr defaultRowHeight="15" x14ac:dyDescent="0.25"/>
  <cols>
    <col min="1" max="1" width="16.140625" bestFit="1" customWidth="1"/>
    <col min="2" max="2" width="16.85546875" bestFit="1" customWidth="1"/>
    <col min="3" max="3" width="5.28515625" bestFit="1" customWidth="1"/>
    <col min="4" max="5" width="11.28515625" bestFit="1" customWidth="1"/>
  </cols>
  <sheetData>
    <row r="3" spans="1:4" x14ac:dyDescent="0.25">
      <c r="A3" s="2" t="s">
        <v>1554</v>
      </c>
      <c r="B3" s="2" t="s">
        <v>1555</v>
      </c>
    </row>
    <row r="4" spans="1:4" x14ac:dyDescent="0.25">
      <c r="A4" s="2" t="s">
        <v>1548</v>
      </c>
      <c r="B4" t="s">
        <v>14</v>
      </c>
      <c r="C4" t="s">
        <v>21</v>
      </c>
      <c r="D4" t="s">
        <v>1549</v>
      </c>
    </row>
    <row r="5" spans="1:4" x14ac:dyDescent="0.25">
      <c r="A5" s="3" t="s">
        <v>1556</v>
      </c>
      <c r="B5">
        <v>41</v>
      </c>
      <c r="C5">
        <v>32</v>
      </c>
      <c r="D5">
        <v>73</v>
      </c>
    </row>
    <row r="6" spans="1:4" x14ac:dyDescent="0.25">
      <c r="A6" s="3" t="s">
        <v>1557</v>
      </c>
      <c r="B6">
        <v>178</v>
      </c>
      <c r="C6">
        <v>172</v>
      </c>
      <c r="D6">
        <v>350</v>
      </c>
    </row>
    <row r="7" spans="1:4" x14ac:dyDescent="0.25">
      <c r="A7" s="3" t="s">
        <v>1558</v>
      </c>
      <c r="B7">
        <v>120</v>
      </c>
      <c r="C7">
        <v>142</v>
      </c>
      <c r="D7">
        <v>262</v>
      </c>
    </row>
    <row r="8" spans="1:4" x14ac:dyDescent="0.25">
      <c r="A8" s="3" t="s">
        <v>1559</v>
      </c>
      <c r="B8">
        <v>56</v>
      </c>
      <c r="C8">
        <v>51</v>
      </c>
      <c r="D8">
        <v>107</v>
      </c>
    </row>
    <row r="9" spans="1:4" x14ac:dyDescent="0.25">
      <c r="A9" s="3" t="s">
        <v>1549</v>
      </c>
      <c r="B9">
        <v>395</v>
      </c>
      <c r="C9">
        <v>397</v>
      </c>
      <c r="D9">
        <v>792</v>
      </c>
    </row>
    <row r="23" spans="1:4" x14ac:dyDescent="0.25">
      <c r="A23" s="2" t="s">
        <v>1550</v>
      </c>
      <c r="B23" s="2" t="s">
        <v>1555</v>
      </c>
    </row>
    <row r="24" spans="1:4" x14ac:dyDescent="0.25">
      <c r="A24" s="2" t="s">
        <v>1548</v>
      </c>
      <c r="B24" t="s">
        <v>14</v>
      </c>
      <c r="C24" t="s">
        <v>21</v>
      </c>
      <c r="D24" t="s">
        <v>1549</v>
      </c>
    </row>
    <row r="25" spans="1:4" x14ac:dyDescent="0.25">
      <c r="A25" s="3" t="s">
        <v>17</v>
      </c>
      <c r="B25">
        <v>75</v>
      </c>
      <c r="C25">
        <v>74</v>
      </c>
      <c r="D25">
        <v>149</v>
      </c>
    </row>
    <row r="26" spans="1:4" x14ac:dyDescent="0.25">
      <c r="A26" s="3" t="s">
        <v>53</v>
      </c>
      <c r="B26">
        <v>97</v>
      </c>
      <c r="C26">
        <v>124</v>
      </c>
      <c r="D26">
        <v>221</v>
      </c>
    </row>
    <row r="27" spans="1:4" x14ac:dyDescent="0.25">
      <c r="A27" s="3" t="s">
        <v>23</v>
      </c>
      <c r="B27">
        <v>103</v>
      </c>
      <c r="C27">
        <v>96</v>
      </c>
      <c r="D27">
        <v>199</v>
      </c>
    </row>
    <row r="28" spans="1:4" x14ac:dyDescent="0.25">
      <c r="A28" s="3" t="s">
        <v>34</v>
      </c>
      <c r="B28">
        <v>120</v>
      </c>
      <c r="C28">
        <v>103</v>
      </c>
      <c r="D28">
        <v>223</v>
      </c>
    </row>
    <row r="29" spans="1:4" x14ac:dyDescent="0.25">
      <c r="A29" s="3" t="s">
        <v>1549</v>
      </c>
      <c r="B29">
        <v>395</v>
      </c>
      <c r="C29">
        <v>397</v>
      </c>
      <c r="D29">
        <v>792</v>
      </c>
    </row>
    <row r="31" spans="1:4" x14ac:dyDescent="0.25">
      <c r="A31" s="3" t="s">
        <v>1566</v>
      </c>
      <c r="B31">
        <v>395</v>
      </c>
    </row>
    <row r="32" spans="1:4" x14ac:dyDescent="0.25">
      <c r="A32" s="3" t="s">
        <v>1567</v>
      </c>
      <c r="B32">
        <v>397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7889-62D2-4225-83D1-FDF735B85C40}">
  <dimension ref="A3:B10"/>
  <sheetViews>
    <sheetView workbookViewId="0">
      <selection activeCell="C18" sqref="C18"/>
    </sheetView>
  </sheetViews>
  <sheetFormatPr defaultRowHeight="15" x14ac:dyDescent="0.25"/>
  <cols>
    <col min="1" max="1" width="13.42578125" bestFit="1" customWidth="1"/>
    <col min="2" max="2" width="13.7109375" bestFit="1" customWidth="1"/>
  </cols>
  <sheetData>
    <row r="3" spans="1:2" x14ac:dyDescent="0.25">
      <c r="A3" s="2" t="s">
        <v>1548</v>
      </c>
      <c r="B3" t="s">
        <v>1550</v>
      </c>
    </row>
    <row r="4" spans="1:2" x14ac:dyDescent="0.25">
      <c r="A4" s="3" t="s">
        <v>49</v>
      </c>
      <c r="B4">
        <v>50</v>
      </c>
    </row>
    <row r="5" spans="1:2" x14ac:dyDescent="0.25">
      <c r="A5" s="3" t="s">
        <v>16</v>
      </c>
      <c r="B5">
        <v>445</v>
      </c>
    </row>
    <row r="6" spans="1:2" x14ac:dyDescent="0.25">
      <c r="A6" s="3" t="s">
        <v>43</v>
      </c>
      <c r="B6">
        <v>49</v>
      </c>
    </row>
    <row r="7" spans="1:2" x14ac:dyDescent="0.25">
      <c r="A7" s="3" t="s">
        <v>59</v>
      </c>
      <c r="B7">
        <v>123</v>
      </c>
    </row>
    <row r="8" spans="1:2" x14ac:dyDescent="0.25">
      <c r="A8" s="3" t="s">
        <v>46</v>
      </c>
      <c r="B8">
        <v>75</v>
      </c>
    </row>
    <row r="9" spans="1:2" x14ac:dyDescent="0.25">
      <c r="A9" s="3" t="s">
        <v>28</v>
      </c>
      <c r="B9">
        <v>50</v>
      </c>
    </row>
    <row r="10" spans="1:2" x14ac:dyDescent="0.25">
      <c r="A10" s="3" t="s">
        <v>1549</v>
      </c>
      <c r="B10">
        <v>792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D57A-6593-4B6E-8E5E-D817CD9FB262}">
  <dimension ref="A3:B14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3" spans="1:2" x14ac:dyDescent="0.25">
      <c r="A3" s="2" t="s">
        <v>1568</v>
      </c>
      <c r="B3" s="7" t="s">
        <v>1552</v>
      </c>
    </row>
    <row r="4" spans="1:2" x14ac:dyDescent="0.25">
      <c r="A4" s="3" t="s">
        <v>1361</v>
      </c>
      <c r="B4" s="6">
        <v>1390000</v>
      </c>
    </row>
    <row r="5" spans="1:2" x14ac:dyDescent="0.25">
      <c r="A5" s="3" t="s">
        <v>1363</v>
      </c>
      <c r="B5" s="6">
        <v>1392000</v>
      </c>
    </row>
    <row r="6" spans="1:2" x14ac:dyDescent="0.25">
      <c r="A6" s="3" t="s">
        <v>1365</v>
      </c>
      <c r="B6" s="6">
        <v>1394000</v>
      </c>
    </row>
    <row r="7" spans="1:2" x14ac:dyDescent="0.25">
      <c r="A7" s="3" t="s">
        <v>1367</v>
      </c>
      <c r="B7" s="6">
        <v>1396000</v>
      </c>
    </row>
    <row r="8" spans="1:2" x14ac:dyDescent="0.25">
      <c r="A8" s="3" t="s">
        <v>1369</v>
      </c>
      <c r="B8" s="6">
        <v>1398000</v>
      </c>
    </row>
    <row r="9" spans="1:2" x14ac:dyDescent="0.25">
      <c r="A9" s="3" t="s">
        <v>1370</v>
      </c>
      <c r="B9" s="6">
        <v>1400000</v>
      </c>
    </row>
    <row r="10" spans="1:2" x14ac:dyDescent="0.25">
      <c r="A10" s="3" t="s">
        <v>1372</v>
      </c>
      <c r="B10" s="6">
        <v>1402000</v>
      </c>
    </row>
    <row r="11" spans="1:2" x14ac:dyDescent="0.25">
      <c r="A11" s="3" t="s">
        <v>1374</v>
      </c>
      <c r="B11" s="6">
        <v>1404000</v>
      </c>
    </row>
    <row r="12" spans="1:2" x14ac:dyDescent="0.25">
      <c r="A12" s="3" t="s">
        <v>1376</v>
      </c>
      <c r="B12" s="6">
        <v>1406000</v>
      </c>
    </row>
    <row r="13" spans="1:2" x14ac:dyDescent="0.25">
      <c r="A13" s="3" t="s">
        <v>1377</v>
      </c>
      <c r="B13" s="6">
        <v>1408000</v>
      </c>
    </row>
    <row r="14" spans="1:2" x14ac:dyDescent="0.25">
      <c r="A14" s="3" t="s">
        <v>1549</v>
      </c>
      <c r="B14" s="6">
        <v>13990000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4CCB-823F-495D-A4C1-EC49E7F2D250}">
  <dimension ref="A3:D14"/>
  <sheetViews>
    <sheetView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3.7109375" bestFit="1" customWidth="1"/>
    <col min="3" max="3" width="19.28515625" bestFit="1" customWidth="1"/>
    <col min="4" max="4" width="17.28515625" bestFit="1" customWidth="1"/>
  </cols>
  <sheetData>
    <row r="3" spans="1:4" x14ac:dyDescent="0.25">
      <c r="A3" s="2" t="s">
        <v>1548</v>
      </c>
      <c r="B3" t="s">
        <v>1550</v>
      </c>
      <c r="C3" t="s">
        <v>1551</v>
      </c>
      <c r="D3" s="5" t="s">
        <v>1553</v>
      </c>
    </row>
    <row r="4" spans="1:4" x14ac:dyDescent="0.25">
      <c r="A4" s="3" t="s">
        <v>24</v>
      </c>
      <c r="B4">
        <v>691</v>
      </c>
      <c r="C4" s="4">
        <v>2.8143939393939394</v>
      </c>
      <c r="D4" s="5">
        <v>661108.70707070711</v>
      </c>
    </row>
    <row r="5" spans="1:4" x14ac:dyDescent="0.25">
      <c r="A5" s="3" t="s">
        <v>18</v>
      </c>
      <c r="B5">
        <v>101</v>
      </c>
    </row>
    <row r="6" spans="1:4" x14ac:dyDescent="0.25">
      <c r="A6" s="3" t="s">
        <v>1549</v>
      </c>
      <c r="B6">
        <v>792</v>
      </c>
    </row>
    <row r="10" spans="1:4" x14ac:dyDescent="0.25">
      <c r="A10" t="s">
        <v>1560</v>
      </c>
      <c r="B10">
        <f>B6</f>
        <v>792</v>
      </c>
    </row>
    <row r="11" spans="1:4" x14ac:dyDescent="0.25">
      <c r="A11" t="s">
        <v>1561</v>
      </c>
      <c r="B11">
        <f>B4</f>
        <v>691</v>
      </c>
    </row>
    <row r="12" spans="1:4" x14ac:dyDescent="0.25">
      <c r="A12" t="s">
        <v>1562</v>
      </c>
      <c r="B12">
        <f>B5</f>
        <v>101</v>
      </c>
    </row>
    <row r="13" spans="1:4" x14ac:dyDescent="0.25">
      <c r="A13" t="s">
        <v>1563</v>
      </c>
      <c r="B13" s="4">
        <f>C4</f>
        <v>2.8143939393939394</v>
      </c>
    </row>
    <row r="14" spans="1:4" x14ac:dyDescent="0.25">
      <c r="A14" t="s">
        <v>1564</v>
      </c>
      <c r="B14" s="5">
        <f>D4</f>
        <v>661108.70707070711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A7C01-E224-49A8-961A-C3A610DB8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</vt:lpstr>
      <vt:lpstr>Pivot Table</vt:lpstr>
      <vt:lpstr>Employee per department</vt:lpstr>
      <vt:lpstr>Pivot table 2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Veronia Ehab</cp:lastModifiedBy>
  <dcterms:created xsi:type="dcterms:W3CDTF">2025-02-04T14:57:50Z</dcterms:created>
  <dcterms:modified xsi:type="dcterms:W3CDTF">2026-03-23T19:13:04Z</dcterms:modified>
</cp:coreProperties>
</file>